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Projects\Projects (Local)\PAO\"/>
    </mc:Choice>
  </mc:AlternateContent>
  <xr:revisionPtr revIDLastSave="0" documentId="13_ncr:1_{6B4A722F-5DE2-4F04-A30C-E9BAFA5B293D}" xr6:coauthVersionLast="47" xr6:coauthVersionMax="47" xr10:uidLastSave="{00000000-0000-0000-0000-000000000000}"/>
  <bookViews>
    <workbookView xWindow="-108" yWindow="-108" windowWidth="23256" windowHeight="13896" xr2:uid="{37903E27-7057-440F-A8DA-FBB93FFEC443}"/>
  </bookViews>
  <sheets>
    <sheet name="PAO.pl" sheetId="26" r:id="rId1"/>
    <sheet name="PAO.en" sheetId="20" r:id="rId2"/>
    <sheet name="Translations" sheetId="14" r:id="rId3"/>
    <sheet name="Frequencies" sheetId="13" r:id="rId4"/>
    <sheet name="Alt Persons" sheetId="24" r:id="rId5"/>
    <sheet name="Alt Actions" sheetId="21" r:id="rId6"/>
    <sheet name="Alt Objects" sheetId="6" r:id="rId7"/>
    <sheet name="CFG" sheetId="27" r:id="rId8"/>
  </sheets>
  <functionGroups builtInGroupCount="19"/>
  <definedNames>
    <definedName name="rng\Actions">INDEX(tab\CFG[Value],MATCH("rng\Actions",tab\CFG[Key],0)):INDEX(tab\CFG[Value],MATCH("rng\Actions",tab\CFG[Key],0)+COUNTIF(tab\CFG[Key],"rng\Actions")-1)</definedName>
    <definedName name="rng\Derivation">INDEX(tab\CFG[Value],MATCH("rng\Derivation",tab\CFG[Key],0)):INDEX(tab\CFG[Value],MATCH("rng\Derivation",tab\CFG[Key],0)+COUNTIF(tab\CFG[Key],"rng\Derivation")-1)</definedName>
    <definedName name="rng\Location.Types">INDEX(tab\CFG[Value],MATCH("rng\Locations.Type",tab\CFG[Key],0)):INDEX(tab\CFG[Value],MATCH("rng\Locations.Type",tab\CFG[Key],0)+COUNTIF(tab\CFG[Key],"rng\Locations.Type")-1)</definedName>
    <definedName name="rng\Locations">INDEX(tab\CFG[Value],MATCH("rng\Locations",tab\CFG[Key],0)):INDEX(tab\CFG[Value],MATCH("rng\Locations",tab\CFG[Key],0)+COUNTIF(tab\CFG[Key],"rng\Locations")-1)</definedName>
    <definedName name="rng\Objects">INDEX(tab\CFG[Value],MATCH("rng\Objects",tab\CFG[Key],0)):INDEX(tab\CFG[Value],MATCH("rng\Objects",tab\CFG[Key],0)+COUNTIF(tab\CFG[Key],"rng\Objects")-1)</definedName>
    <definedName name="rng\Persons">INDEX(tab\CFG[Value],MATCH("rng\Persons",tab\CFG[Key],0)):INDEX(tab\CFG[Value],MATCH("rng\Persons",tab\CFG[Key],0)+COUNTIF(tab\CFG[Key],"rng\Persons")-1)</definedName>
    <definedName name="var\Pictures">INDEX(tab\CFG[Value],MATCH("var\Pictures",tab\CFG[Key],0)):INDEX(tab\CFG[Value],MATCH("var\Pictures",tab\CFG[Key],0)+COUNTIF(tab\CFG[Key],"var\Pictures")-1)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7" l="1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8" i="27"/>
  <c r="G59" i="27"/>
  <c r="G60" i="27"/>
  <c r="F33" i="27"/>
  <c r="F2" i="27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G98" i="26"/>
  <c r="G99" i="26"/>
  <c r="G100" i="26"/>
  <c r="G101" i="26"/>
  <c r="G102" i="26"/>
  <c r="G103" i="26"/>
  <c r="G104" i="26"/>
  <c r="G105" i="26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B105" i="26" a="1"/>
  <c r="B104" i="26" a="1"/>
  <c r="B103" i="26" a="1"/>
  <c r="B102" i="26" a="1"/>
  <c r="B101" i="26" a="1"/>
  <c r="B100" i="26" a="1"/>
  <c r="B99" i="26" a="1"/>
  <c r="B98" i="26" a="1"/>
  <c r="B97" i="26" a="1"/>
  <c r="B96" i="26" a="1"/>
  <c r="B95" i="26" a="1"/>
  <c r="B94" i="26" a="1"/>
  <c r="B93" i="26" a="1"/>
  <c r="B92" i="26" a="1"/>
  <c r="B91" i="26" a="1"/>
  <c r="B90" i="26" a="1"/>
  <c r="B89" i="26" a="1"/>
  <c r="B88" i="26" a="1"/>
  <c r="B87" i="26" a="1"/>
  <c r="B86" i="26" a="1"/>
  <c r="B85" i="26" a="1"/>
  <c r="B84" i="26" a="1"/>
  <c r="B83" i="26" a="1"/>
  <c r="B82" i="26" a="1"/>
  <c r="B81" i="26" a="1"/>
  <c r="B80" i="26" a="1"/>
  <c r="B79" i="26" a="1"/>
  <c r="B78" i="26" a="1"/>
  <c r="B77" i="26" a="1"/>
  <c r="B76" i="26" a="1"/>
  <c r="B75" i="26" a="1"/>
  <c r="B74" i="26" a="1"/>
  <c r="B73" i="26" a="1"/>
  <c r="B72" i="26" a="1"/>
  <c r="B71" i="26" a="1"/>
  <c r="B70" i="26" a="1"/>
  <c r="B69" i="26" a="1"/>
  <c r="B68" i="26" a="1"/>
  <c r="B67" i="26" a="1"/>
  <c r="B66" i="26" a="1"/>
  <c r="B65" i="26" a="1"/>
  <c r="B64" i="26" a="1"/>
  <c r="B63" i="26" a="1"/>
  <c r="B62" i="26" a="1"/>
  <c r="B61" i="26" a="1"/>
  <c r="B60" i="26" a="1"/>
  <c r="B59" i="26" a="1"/>
  <c r="B58" i="26" a="1"/>
  <c r="B57" i="26" a="1"/>
  <c r="B56" i="26" a="1"/>
  <c r="B55" i="26" a="1"/>
  <c r="B54" i="26" a="1"/>
  <c r="B53" i="26" a="1"/>
  <c r="B52" i="26" a="1"/>
  <c r="B51" i="26" a="1"/>
  <c r="B50" i="26" a="1"/>
  <c r="B49" i="26" a="1"/>
  <c r="B48" i="26" a="1"/>
  <c r="B47" i="26" a="1"/>
  <c r="B46" i="26" a="1"/>
  <c r="B45" i="26" a="1"/>
  <c r="B44" i="26" a="1"/>
  <c r="B43" i="26" a="1"/>
  <c r="B42" i="26" a="1"/>
  <c r="B41" i="26" a="1"/>
  <c r="B40" i="26" a="1"/>
  <c r="B39" i="26" a="1"/>
  <c r="B38" i="26" a="1"/>
  <c r="B37" i="26" a="1"/>
  <c r="B36" i="26" a="1"/>
  <c r="B35" i="26" a="1"/>
  <c r="B34" i="26" a="1"/>
  <c r="B33" i="26" a="1"/>
  <c r="B32" i="26" a="1"/>
  <c r="B31" i="26" a="1"/>
  <c r="B30" i="26" a="1"/>
  <c r="B29" i="26" a="1"/>
  <c r="B28" i="26" a="1"/>
  <c r="B27" i="26" a="1"/>
  <c r="B26" i="26" a="1"/>
  <c r="B25" i="26" a="1"/>
  <c r="B24" i="26" a="1"/>
  <c r="B23" i="26" a="1"/>
  <c r="B22" i="26" a="1"/>
  <c r="B21" i="26" a="1"/>
  <c r="B20" i="26" a="1"/>
  <c r="B19" i="26" a="1"/>
  <c r="B18" i="26" a="1"/>
  <c r="B17" i="26" a="1"/>
  <c r="B16" i="26" a="1"/>
  <c r="B15" i="26" a="1"/>
  <c r="B14" i="26" a="1"/>
  <c r="B13" i="26" a="1"/>
  <c r="B12" i="26" a="1"/>
  <c r="B11" i="26" a="1"/>
  <c r="B10" i="26" a="1"/>
  <c r="B9" i="26" a="1"/>
  <c r="B8" i="26" a="1"/>
  <c r="B7" i="26" a="1"/>
  <c r="B6" i="26" a="1"/>
  <c r="E2" i="26"/>
  <c r="E3" i="26" s="1"/>
  <c r="D2" i="26"/>
  <c r="D3" i="26" s="1"/>
  <c r="C2" i="26"/>
  <c r="C3" i="26" s="1"/>
  <c r="B267" i="24" a="1"/>
  <c r="B55" i="24" a="1"/>
  <c r="B88" i="24" a="1"/>
  <c r="B165" i="24" a="1"/>
  <c r="B2" i="24" a="1"/>
  <c r="B3" i="24" a="1"/>
  <c r="B4" i="24" a="1"/>
  <c r="B5" i="24" a="1"/>
  <c r="B6" i="24" a="1"/>
  <c r="B7" i="24" a="1"/>
  <c r="B8" i="24" a="1"/>
  <c r="B9" i="24" a="1"/>
  <c r="B10" i="24" a="1"/>
  <c r="B11" i="24" a="1"/>
  <c r="B12" i="24" a="1"/>
  <c r="B14" i="24" a="1"/>
  <c r="B15" i="24" a="1"/>
  <c r="B16" i="24" a="1"/>
  <c r="B17" i="24" a="1"/>
  <c r="B18" i="24" a="1"/>
  <c r="B19" i="24" a="1"/>
  <c r="B20" i="24" a="1"/>
  <c r="B21" i="24" a="1"/>
  <c r="B22" i="24" a="1"/>
  <c r="B23" i="24" a="1"/>
  <c r="B24" i="24" a="1"/>
  <c r="B25" i="24" a="1"/>
  <c r="B26" i="24" a="1"/>
  <c r="B27" i="24" a="1"/>
  <c r="B29" i="24" a="1"/>
  <c r="B30" i="24" a="1"/>
  <c r="B31" i="24" a="1"/>
  <c r="B32" i="24" a="1"/>
  <c r="B33" i="24" a="1"/>
  <c r="B34" i="24" a="1"/>
  <c r="B35" i="24" a="1"/>
  <c r="B36" i="24" a="1"/>
  <c r="B37" i="24" a="1"/>
  <c r="B38" i="24" a="1"/>
  <c r="B39" i="24" a="1"/>
  <c r="B40" i="24" a="1"/>
  <c r="B41" i="24" a="1"/>
  <c r="B42" i="24" a="1"/>
  <c r="B43" i="24" a="1"/>
  <c r="B44" i="24" a="1"/>
  <c r="B45" i="24" a="1"/>
  <c r="B46" i="24" a="1"/>
  <c r="B47" i="24" a="1"/>
  <c r="B48" i="24" a="1"/>
  <c r="B49" i="24" a="1"/>
  <c r="B50" i="24" a="1"/>
  <c r="B51" i="24" a="1"/>
  <c r="B52" i="24" a="1"/>
  <c r="B54" i="24" a="1"/>
  <c r="B56" i="24" a="1"/>
  <c r="B57" i="24" a="1"/>
  <c r="B58" i="24" a="1"/>
  <c r="B59" i="24" a="1"/>
  <c r="B60" i="24" a="1"/>
  <c r="B61" i="24" a="1"/>
  <c r="B62" i="24" a="1"/>
  <c r="B63" i="24" a="1"/>
  <c r="B64" i="24" a="1"/>
  <c r="B65" i="24" a="1"/>
  <c r="B66" i="24" a="1"/>
  <c r="B67" i="24" a="1"/>
  <c r="B68" i="24" a="1"/>
  <c r="B69" i="24" a="1"/>
  <c r="B70" i="24" a="1"/>
  <c r="B71" i="24" a="1"/>
  <c r="B72" i="24" a="1"/>
  <c r="B73" i="24" a="1"/>
  <c r="B74" i="24" a="1"/>
  <c r="B75" i="24" a="1"/>
  <c r="B76" i="24" a="1"/>
  <c r="B77" i="24" a="1"/>
  <c r="B78" i="24" a="1"/>
  <c r="B79" i="24" a="1"/>
  <c r="B80" i="24" a="1"/>
  <c r="B81" i="24" a="1"/>
  <c r="B82" i="24" a="1"/>
  <c r="B83" i="24" a="1"/>
  <c r="B84" i="24" a="1"/>
  <c r="B85" i="24" a="1"/>
  <c r="B86" i="24" a="1"/>
  <c r="B87" i="24" a="1"/>
  <c r="B89" i="24" a="1"/>
  <c r="B90" i="24" a="1"/>
  <c r="B91" i="24" a="1"/>
  <c r="B92" i="24" a="1"/>
  <c r="B94" i="24" a="1"/>
  <c r="B95" i="24" a="1"/>
  <c r="B96" i="24" a="1"/>
  <c r="B97" i="24" a="1"/>
  <c r="B98" i="24" a="1"/>
  <c r="B99" i="24" a="1"/>
  <c r="B100" i="24" a="1"/>
  <c r="B101" i="24" a="1"/>
  <c r="B102" i="24" a="1"/>
  <c r="B103" i="24" a="1"/>
  <c r="B104" i="24" a="1"/>
  <c r="B105" i="24" a="1"/>
  <c r="B106" i="24" a="1"/>
  <c r="B107" i="24" a="1"/>
  <c r="B108" i="24" a="1"/>
  <c r="B109" i="24" a="1"/>
  <c r="B110" i="24" a="1"/>
  <c r="B111" i="24" a="1"/>
  <c r="B112" i="24" a="1"/>
  <c r="B113" i="24" a="1"/>
  <c r="B114" i="24" a="1"/>
  <c r="B115" i="24" a="1"/>
  <c r="B116" i="24" a="1"/>
  <c r="B117" i="24" a="1"/>
  <c r="B118" i="24" a="1"/>
  <c r="B119" i="24" a="1"/>
  <c r="B120" i="24" a="1"/>
  <c r="B121" i="24" a="1"/>
  <c r="B122" i="24" a="1"/>
  <c r="B123" i="24" a="1"/>
  <c r="B124" i="24" a="1"/>
  <c r="B125" i="24" a="1"/>
  <c r="B126" i="24" a="1"/>
  <c r="B127" i="24" a="1"/>
  <c r="B128" i="24" a="1"/>
  <c r="B129" i="24" a="1"/>
  <c r="B130" i="24" a="1"/>
  <c r="B131" i="24" a="1"/>
  <c r="B132" i="24" a="1"/>
  <c r="B133" i="24" a="1"/>
  <c r="B134" i="24" a="1"/>
  <c r="B135" i="24" a="1"/>
  <c r="B136" i="24" a="1"/>
  <c r="B137" i="24" a="1"/>
  <c r="B139" i="24" a="1"/>
  <c r="B140" i="24" a="1"/>
  <c r="B141" i="24" a="1"/>
  <c r="B142" i="24" a="1"/>
  <c r="B143" i="24" a="1"/>
  <c r="B144" i="24" a="1"/>
  <c r="B145" i="24" a="1"/>
  <c r="B146" i="24" a="1"/>
  <c r="B147" i="24" a="1"/>
  <c r="B148" i="24" a="1"/>
  <c r="B149" i="24" a="1"/>
  <c r="B150" i="24" a="1"/>
  <c r="B151" i="24" a="1"/>
  <c r="B152" i="24" a="1"/>
  <c r="B154" i="24" a="1"/>
  <c r="B155" i="24" a="1"/>
  <c r="B156" i="24" a="1"/>
  <c r="B157" i="24" a="1"/>
  <c r="B158" i="24" a="1"/>
  <c r="B159" i="24" a="1"/>
  <c r="B160" i="24" a="1"/>
  <c r="B161" i="24" a="1"/>
  <c r="B162" i="24" a="1"/>
  <c r="B163" i="24" a="1"/>
  <c r="B164" i="24" a="1"/>
  <c r="B166" i="24" a="1"/>
  <c r="B167" i="24" a="1"/>
  <c r="B169" i="24" a="1"/>
  <c r="B170" i="24" a="1"/>
  <c r="B171" i="24" a="1"/>
  <c r="B172" i="24" a="1"/>
  <c r="B173" i="24" a="1"/>
  <c r="B174" i="24" a="1"/>
  <c r="B175" i="24" a="1"/>
  <c r="B176" i="24" a="1"/>
  <c r="B177" i="24" a="1"/>
  <c r="B178" i="24" a="1"/>
  <c r="B179" i="24" a="1"/>
  <c r="B180" i="24" a="1"/>
  <c r="B182" i="24" a="1"/>
  <c r="B183" i="24" a="1"/>
  <c r="B184" i="24" a="1"/>
  <c r="B185" i="24" a="1"/>
  <c r="B186" i="24" a="1"/>
  <c r="B187" i="24" a="1"/>
  <c r="B188" i="24" a="1"/>
  <c r="B189" i="24" a="1"/>
  <c r="B190" i="24" a="1"/>
  <c r="B191" i="24" a="1"/>
  <c r="B192" i="24" a="1"/>
  <c r="B193" i="24" a="1"/>
  <c r="B194" i="24" a="1"/>
  <c r="B195" i="24" a="1"/>
  <c r="B196" i="24" a="1"/>
  <c r="B197" i="24" a="1"/>
  <c r="B198" i="24" a="1"/>
  <c r="B199" i="24" a="1"/>
  <c r="B200" i="24" a="1"/>
  <c r="B201" i="24" a="1"/>
  <c r="B202" i="24" a="1"/>
  <c r="B203" i="24" a="1"/>
  <c r="B204" i="24" a="1"/>
  <c r="B205" i="24" a="1"/>
  <c r="B206" i="24" a="1"/>
  <c r="B207" i="24" a="1"/>
  <c r="B208" i="24" a="1"/>
  <c r="B209" i="24" a="1"/>
  <c r="B210" i="24" a="1"/>
  <c r="B211" i="24" a="1"/>
  <c r="B213" i="24" a="1"/>
  <c r="B214" i="24" a="1"/>
  <c r="B215" i="24" a="1"/>
  <c r="B216" i="24" a="1"/>
  <c r="B217" i="24" a="1"/>
  <c r="B218" i="24" a="1"/>
  <c r="B219" i="24" a="1"/>
  <c r="B220" i="24" a="1"/>
  <c r="B221" i="24" a="1"/>
  <c r="B222" i="24" a="1"/>
  <c r="B223" i="24" a="1"/>
  <c r="B224" i="24" a="1"/>
  <c r="B225" i="24" a="1"/>
  <c r="B226" i="24" a="1"/>
  <c r="B227" i="24" a="1"/>
  <c r="B228" i="24" a="1"/>
  <c r="B229" i="24" a="1"/>
  <c r="B230" i="24" a="1"/>
  <c r="B231" i="24" a="1"/>
  <c r="B232" i="24" a="1"/>
  <c r="B234" i="24" a="1"/>
  <c r="B235" i="24" a="1"/>
  <c r="B236" i="24" a="1"/>
  <c r="B237" i="24" a="1"/>
  <c r="B238" i="24" a="1"/>
  <c r="B239" i="24" a="1"/>
  <c r="B240" i="24" a="1"/>
  <c r="B241" i="24" a="1"/>
  <c r="B242" i="24" a="1"/>
  <c r="B243" i="24" a="1"/>
  <c r="B244" i="24" a="1"/>
  <c r="B245" i="24" a="1"/>
  <c r="B246" i="24" a="1"/>
  <c r="B247" i="24" a="1"/>
  <c r="B248" i="24" a="1"/>
  <c r="B249" i="24" a="1"/>
  <c r="B250" i="24" a="1"/>
  <c r="B251" i="24" a="1"/>
  <c r="B252" i="24" a="1"/>
  <c r="B253" i="24" a="1"/>
  <c r="B254" i="24" a="1"/>
  <c r="B255" i="24" a="1"/>
  <c r="B256" i="24" a="1"/>
  <c r="B257" i="24" a="1"/>
  <c r="B258" i="24" a="1"/>
  <c r="B259" i="24" a="1"/>
  <c r="B260" i="24" a="1"/>
  <c r="B261" i="24" a="1"/>
  <c r="B262" i="24" a="1"/>
  <c r="B263" i="24" a="1"/>
  <c r="B264" i="24" a="1"/>
  <c r="B265" i="24" a="1"/>
  <c r="B266" i="24" a="1"/>
  <c r="B268" i="24" a="1"/>
  <c r="B269" i="24" a="1"/>
  <c r="B270" i="24" a="1"/>
  <c r="B271" i="24" a="1"/>
  <c r="B272" i="24" a="1"/>
  <c r="B273" i="24" a="1"/>
  <c r="B274" i="24" a="1"/>
  <c r="B275" i="24" a="1"/>
  <c r="B276" i="24" a="1"/>
  <c r="B277" i="24" a="1"/>
  <c r="B278" i="24" a="1"/>
  <c r="B279" i="24" a="1"/>
  <c r="B280" i="24" a="1"/>
  <c r="B281" i="24" a="1"/>
  <c r="B282" i="24" a="1"/>
  <c r="B283" i="24" a="1"/>
  <c r="B284" i="24" a="1"/>
  <c r="B285" i="24" a="1"/>
  <c r="B286" i="24" a="1"/>
  <c r="B287" i="24" a="1"/>
  <c r="B288" i="24" a="1"/>
  <c r="B289" i="24" a="1"/>
  <c r="B290" i="24" a="1"/>
  <c r="B291" i="24" a="1"/>
  <c r="B292" i="24" a="1"/>
  <c r="B153" i="24" a="1"/>
  <c r="B168" i="24" a="1"/>
  <c r="B212" i="24" a="1"/>
  <c r="B181" i="24" a="1"/>
  <c r="B138" i="24" a="1"/>
  <c r="B53" i="24" a="1"/>
  <c r="B28" i="24" a="1"/>
  <c r="B93" i="24" a="1"/>
  <c r="B233" i="24" a="1"/>
  <c r="B13" i="24" a="1"/>
  <c r="B6" i="20" a="1"/>
  <c r="B7" i="20" a="1"/>
  <c r="B8" i="20" a="1"/>
  <c r="B9" i="20" a="1"/>
  <c r="B10" i="20" a="1"/>
  <c r="B11" i="20" a="1"/>
  <c r="B12" i="20" a="1"/>
  <c r="B13" i="20" a="1"/>
  <c r="B14" i="20" a="1"/>
  <c r="B15" i="20" a="1"/>
  <c r="B16" i="20" a="1"/>
  <c r="B17" i="20" a="1"/>
  <c r="B18" i="20" a="1"/>
  <c r="B19" i="20" a="1"/>
  <c r="B20" i="20" a="1"/>
  <c r="B21" i="20" a="1"/>
  <c r="B22" i="20" a="1"/>
  <c r="B23" i="20" a="1"/>
  <c r="B24" i="20" a="1"/>
  <c r="B25" i="20" a="1"/>
  <c r="B26" i="20" a="1"/>
  <c r="B27" i="20" a="1"/>
  <c r="B28" i="20" a="1"/>
  <c r="B29" i="20" a="1"/>
  <c r="B30" i="20" a="1"/>
  <c r="B31" i="20" a="1"/>
  <c r="B32" i="20" a="1"/>
  <c r="B33" i="20" a="1"/>
  <c r="B34" i="20" a="1"/>
  <c r="B35" i="20" a="1"/>
  <c r="B36" i="20" a="1"/>
  <c r="B37" i="20" a="1"/>
  <c r="B38" i="20" a="1"/>
  <c r="B39" i="20" a="1"/>
  <c r="B40" i="20" a="1"/>
  <c r="B41" i="20" a="1"/>
  <c r="B42" i="20" a="1"/>
  <c r="B43" i="20" a="1"/>
  <c r="B44" i="20" a="1"/>
  <c r="B45" i="20" a="1"/>
  <c r="B46" i="20" a="1"/>
  <c r="B47" i="20" a="1"/>
  <c r="B48" i="20" a="1"/>
  <c r="B49" i="20" a="1"/>
  <c r="B50" i="20" a="1"/>
  <c r="B51" i="20" a="1"/>
  <c r="B52" i="20" a="1"/>
  <c r="B53" i="20" a="1"/>
  <c r="B54" i="20" a="1"/>
  <c r="B55" i="20" a="1"/>
  <c r="B56" i="20" a="1"/>
  <c r="B57" i="20" a="1"/>
  <c r="B58" i="20" a="1"/>
  <c r="B59" i="20" a="1"/>
  <c r="B60" i="20" a="1"/>
  <c r="B61" i="20" a="1"/>
  <c r="B62" i="20" a="1"/>
  <c r="B63" i="20" a="1"/>
  <c r="B64" i="20" a="1"/>
  <c r="B65" i="20" a="1"/>
  <c r="B66" i="20" a="1"/>
  <c r="B67" i="20" a="1"/>
  <c r="B68" i="20" a="1"/>
  <c r="B69" i="20" a="1"/>
  <c r="B70" i="20" a="1"/>
  <c r="B71" i="20" a="1"/>
  <c r="B72" i="20" a="1"/>
  <c r="B73" i="20" a="1"/>
  <c r="B74" i="20" a="1"/>
  <c r="B75" i="20" a="1"/>
  <c r="B76" i="20" a="1"/>
  <c r="B77" i="20" a="1"/>
  <c r="B78" i="20" a="1"/>
  <c r="B79" i="20" a="1"/>
  <c r="B80" i="20" a="1"/>
  <c r="B81" i="20" a="1"/>
  <c r="B82" i="20" a="1"/>
  <c r="B83" i="20" a="1"/>
  <c r="B84" i="20" a="1"/>
  <c r="B85" i="20" a="1"/>
  <c r="B86" i="20" a="1"/>
  <c r="B87" i="20" a="1"/>
  <c r="B88" i="20" a="1"/>
  <c r="B89" i="20" a="1"/>
  <c r="B90" i="20" a="1"/>
  <c r="B91" i="20" a="1"/>
  <c r="B92" i="20" a="1"/>
  <c r="B93" i="20" a="1"/>
  <c r="B94" i="20" a="1"/>
  <c r="B95" i="20" a="1"/>
  <c r="B96" i="20" a="1"/>
  <c r="B97" i="20" a="1"/>
  <c r="B98" i="20" a="1"/>
  <c r="B99" i="20" a="1"/>
  <c r="B100" i="20" a="1"/>
  <c r="B101" i="20" a="1"/>
  <c r="B102" i="20" a="1"/>
  <c r="B103" i="20" a="1"/>
  <c r="B104" i="20" a="1"/>
  <c r="B105" i="20" a="1"/>
  <c r="B2" i="6" a="1"/>
  <c r="B3" i="6" a="1"/>
  <c r="B4" i="6" a="1"/>
  <c r="B5" i="6" a="1"/>
  <c r="B6" i="6" a="1"/>
  <c r="B7" i="6" a="1"/>
  <c r="B8" i="6" a="1"/>
  <c r="B9" i="6" a="1"/>
  <c r="B10" i="6" a="1"/>
  <c r="B11" i="6" a="1"/>
  <c r="B12" i="6" a="1"/>
  <c r="B13" i="6" a="1"/>
  <c r="B14" i="6" a="1"/>
  <c r="B15" i="6" a="1"/>
  <c r="B16" i="6" a="1"/>
  <c r="B17" i="6" a="1"/>
  <c r="B18" i="6" a="1"/>
  <c r="B19" i="6" a="1"/>
  <c r="B20" i="6" a="1"/>
  <c r="B21" i="6" a="1"/>
  <c r="B22" i="6" a="1"/>
  <c r="B23" i="6" a="1"/>
  <c r="B24" i="6" a="1"/>
  <c r="B25" i="6" a="1"/>
  <c r="B26" i="6" a="1"/>
  <c r="B27" i="6" a="1"/>
  <c r="B28" i="6" a="1"/>
  <c r="B29" i="6" a="1"/>
  <c r="B30" i="6" a="1"/>
  <c r="B31" i="6" a="1"/>
  <c r="B32" i="6" a="1"/>
  <c r="B33" i="6" a="1"/>
  <c r="B34" i="6" a="1"/>
  <c r="B35" i="6" a="1"/>
  <c r="B36" i="6" a="1"/>
  <c r="B37" i="6" a="1"/>
  <c r="B38" i="6" a="1"/>
  <c r="B39" i="6" a="1"/>
  <c r="B40" i="6" a="1"/>
  <c r="B41" i="6" a="1"/>
  <c r="B42" i="6" a="1"/>
  <c r="B43" i="6" a="1"/>
  <c r="B44" i="6" a="1"/>
  <c r="B45" i="6" a="1"/>
  <c r="B46" i="6" a="1"/>
  <c r="B47" i="6" a="1"/>
  <c r="B48" i="6" a="1"/>
  <c r="B49" i="6" a="1"/>
  <c r="B50" i="6" a="1"/>
  <c r="B51" i="6" a="1"/>
  <c r="B52" i="6" a="1"/>
  <c r="B53" i="6" a="1"/>
  <c r="B54" i="6" a="1"/>
  <c r="B55" i="6" a="1"/>
  <c r="B56" i="6" a="1"/>
  <c r="B57" i="6" a="1"/>
  <c r="B58" i="6" a="1"/>
  <c r="B59" i="6" a="1"/>
  <c r="B60" i="6" a="1"/>
  <c r="B61" i="6" a="1"/>
  <c r="B62" i="6" a="1"/>
  <c r="B63" i="6" a="1"/>
  <c r="B64" i="6" a="1"/>
  <c r="B65" i="6" a="1"/>
  <c r="B66" i="6" a="1"/>
  <c r="B67" i="6" a="1"/>
  <c r="B68" i="6" a="1"/>
  <c r="B69" i="6" a="1"/>
  <c r="B70" i="6" a="1"/>
  <c r="B71" i="6" a="1"/>
  <c r="B72" i="6" a="1"/>
  <c r="B73" i="6" a="1"/>
  <c r="B74" i="6" a="1"/>
  <c r="B75" i="6" a="1"/>
  <c r="B76" i="6" a="1"/>
  <c r="B77" i="6" a="1"/>
  <c r="B78" i="6" a="1"/>
  <c r="B79" i="6" a="1"/>
  <c r="B80" i="6" a="1"/>
  <c r="B81" i="6" a="1"/>
  <c r="B82" i="6" a="1"/>
  <c r="B83" i="6" a="1"/>
  <c r="B84" i="6" a="1"/>
  <c r="B85" i="6" a="1"/>
  <c r="B86" i="6" a="1"/>
  <c r="B87" i="6" a="1"/>
  <c r="B88" i="6" a="1"/>
  <c r="B89" i="6" a="1"/>
  <c r="B90" i="6" a="1"/>
  <c r="B91" i="6" a="1"/>
  <c r="B92" i="6" a="1"/>
  <c r="B93" i="6" a="1"/>
  <c r="B94" i="6" a="1"/>
  <c r="B95" i="6" a="1"/>
  <c r="B96" i="6" a="1"/>
  <c r="B97" i="6" a="1"/>
  <c r="B98" i="6" a="1"/>
  <c r="B99" i="6" a="1"/>
  <c r="B100" i="6" a="1"/>
  <c r="B101" i="6" a="1"/>
  <c r="B102" i="6" a="1"/>
  <c r="B103" i="6" a="1"/>
  <c r="B104" i="6" a="1"/>
  <c r="B105" i="6" a="1"/>
  <c r="B106" i="6" a="1"/>
  <c r="B107" i="6" a="1"/>
  <c r="B108" i="6" a="1"/>
  <c r="B109" i="6" a="1"/>
  <c r="B110" i="6" a="1"/>
  <c r="B111" i="6" a="1"/>
  <c r="B112" i="6" a="1"/>
  <c r="B113" i="6" a="1"/>
  <c r="B114" i="6" a="1"/>
  <c r="B115" i="6" a="1"/>
  <c r="B116" i="6" a="1"/>
  <c r="B117" i="6" a="1"/>
  <c r="B118" i="6" a="1"/>
  <c r="B119" i="6" a="1"/>
  <c r="B120" i="6" a="1"/>
  <c r="B121" i="6" a="1"/>
  <c r="B122" i="6" a="1"/>
  <c r="B123" i="6" a="1"/>
  <c r="B124" i="6" a="1"/>
  <c r="B125" i="6" a="1"/>
  <c r="B126" i="6" a="1"/>
  <c r="B127" i="6" a="1"/>
  <c r="B128" i="6" a="1"/>
  <c r="B129" i="6" a="1"/>
  <c r="B130" i="6" a="1"/>
  <c r="B131" i="6" a="1"/>
  <c r="B132" i="6" a="1"/>
  <c r="B133" i="6" a="1"/>
  <c r="B134" i="6" a="1"/>
  <c r="B135" i="6" a="1"/>
  <c r="B136" i="6" a="1"/>
  <c r="B137" i="6" a="1"/>
  <c r="B138" i="6" a="1"/>
  <c r="B139" i="6" a="1"/>
  <c r="B140" i="6" a="1"/>
  <c r="B141" i="6" a="1"/>
  <c r="B142" i="6" a="1"/>
  <c r="B143" i="6" a="1"/>
  <c r="B144" i="6" a="1"/>
  <c r="B145" i="6" a="1"/>
  <c r="B146" i="6" a="1"/>
  <c r="B147" i="6" a="1"/>
  <c r="B148" i="6" a="1"/>
  <c r="B149" i="6" a="1"/>
  <c r="B150" i="6" a="1"/>
  <c r="B151" i="6" a="1"/>
  <c r="B152" i="6" a="1"/>
  <c r="B153" i="6" a="1"/>
  <c r="B154" i="6" a="1"/>
  <c r="B155" i="6" a="1"/>
  <c r="B156" i="6" a="1"/>
  <c r="B157" i="6" a="1"/>
  <c r="B158" i="6" a="1"/>
  <c r="B159" i="6" a="1"/>
  <c r="B160" i="6" a="1"/>
  <c r="B161" i="6" a="1"/>
  <c r="B162" i="6" a="1"/>
  <c r="B163" i="6" a="1"/>
  <c r="B164" i="6" a="1"/>
  <c r="B165" i="6" a="1"/>
  <c r="B166" i="6" a="1"/>
  <c r="B167" i="6" a="1"/>
  <c r="B168" i="6" a="1"/>
  <c r="B169" i="6" a="1"/>
  <c r="B170" i="6" a="1"/>
  <c r="B171" i="6" a="1"/>
  <c r="B172" i="6" a="1"/>
  <c r="B173" i="6" a="1"/>
  <c r="B174" i="6" a="1"/>
  <c r="B175" i="6" a="1"/>
  <c r="B176" i="6" a="1"/>
  <c r="B177" i="6" a="1"/>
  <c r="B178" i="6" a="1"/>
  <c r="B179" i="6" a="1"/>
  <c r="B180" i="6" a="1"/>
  <c r="B181" i="6" a="1"/>
  <c r="B182" i="6" a="1"/>
  <c r="B183" i="6" a="1"/>
  <c r="B184" i="6" a="1"/>
  <c r="B185" i="6" a="1"/>
  <c r="B186" i="6" a="1"/>
  <c r="B187" i="6" a="1"/>
  <c r="B188" i="6" a="1"/>
  <c r="B189" i="6" a="1"/>
  <c r="B190" i="6" a="1"/>
  <c r="B191" i="6" a="1"/>
  <c r="B192" i="6" a="1"/>
  <c r="B193" i="6" a="1"/>
  <c r="B194" i="6" a="1"/>
  <c r="B195" i="6" a="1"/>
  <c r="B196" i="6" a="1"/>
  <c r="B197" i="6" a="1"/>
  <c r="B198" i="6" a="1"/>
  <c r="B199" i="6" a="1"/>
  <c r="B200" i="6" a="1"/>
  <c r="B201" i="6" a="1"/>
  <c r="B202" i="6" a="1"/>
  <c r="B203" i="6" a="1"/>
  <c r="B204" i="6" a="1"/>
  <c r="B205" i="6" a="1"/>
  <c r="B3" i="21" a="1"/>
  <c r="B4" i="21" a="1"/>
  <c r="B5" i="21" a="1"/>
  <c r="B6" i="21" a="1"/>
  <c r="B7" i="21" a="1"/>
  <c r="B8" i="21" a="1"/>
  <c r="B9" i="21" a="1"/>
  <c r="B10" i="21" a="1"/>
  <c r="B11" i="21" a="1"/>
  <c r="B12" i="21" a="1"/>
  <c r="B13" i="21" a="1"/>
  <c r="B14" i="21" a="1"/>
  <c r="B15" i="21" a="1"/>
  <c r="B16" i="21" a="1"/>
  <c r="B17" i="21" a="1"/>
  <c r="B18" i="21" a="1"/>
  <c r="B19" i="21" a="1"/>
  <c r="B20" i="21" a="1"/>
  <c r="B21" i="21" a="1"/>
  <c r="B22" i="21" a="1"/>
  <c r="B23" i="21" a="1"/>
  <c r="B24" i="21" a="1"/>
  <c r="B25" i="21" a="1"/>
  <c r="B26" i="21" a="1"/>
  <c r="B27" i="21" a="1"/>
  <c r="B28" i="21" a="1"/>
  <c r="B29" i="21" a="1"/>
  <c r="B30" i="21" a="1"/>
  <c r="B31" i="21" a="1"/>
  <c r="B32" i="21" a="1"/>
  <c r="B33" i="21" a="1"/>
  <c r="B34" i="21" a="1"/>
  <c r="B35" i="21" a="1"/>
  <c r="B36" i="21" a="1"/>
  <c r="B37" i="21" a="1"/>
  <c r="B38" i="21" a="1"/>
  <c r="B39" i="21" a="1"/>
  <c r="B40" i="21" a="1"/>
  <c r="B41" i="21" a="1"/>
  <c r="B42" i="21" a="1"/>
  <c r="B43" i="21" a="1"/>
  <c r="B44" i="21" a="1"/>
  <c r="B45" i="21" a="1"/>
  <c r="B46" i="21" a="1"/>
  <c r="B47" i="21" a="1"/>
  <c r="B48" i="21" a="1"/>
  <c r="B49" i="21" a="1"/>
  <c r="B50" i="21" a="1"/>
  <c r="B51" i="21" a="1"/>
  <c r="B52" i="21" a="1"/>
  <c r="B53" i="21" a="1"/>
  <c r="B54" i="21" a="1"/>
  <c r="B55" i="21" a="1"/>
  <c r="B56" i="21" a="1"/>
  <c r="B57" i="21" a="1"/>
  <c r="B58" i="21" a="1"/>
  <c r="B59" i="21" a="1"/>
  <c r="B60" i="21" a="1"/>
  <c r="B61" i="21" a="1"/>
  <c r="B62" i="21" a="1"/>
  <c r="B63" i="21" a="1"/>
  <c r="B64" i="21" a="1"/>
  <c r="B65" i="21" a="1"/>
  <c r="B66" i="21" a="1"/>
  <c r="B67" i="21" a="1"/>
  <c r="B68" i="21" a="1"/>
  <c r="B69" i="21" a="1"/>
  <c r="B70" i="21" a="1"/>
  <c r="B71" i="21" a="1"/>
  <c r="B72" i="21" a="1"/>
  <c r="B73" i="21" a="1"/>
  <c r="B74" i="21" a="1"/>
  <c r="B75" i="21" a="1"/>
  <c r="B76" i="21" a="1"/>
  <c r="B77" i="21" a="1"/>
  <c r="B78" i="21" a="1"/>
  <c r="B79" i="21" a="1"/>
  <c r="B80" i="21" a="1"/>
  <c r="B81" i="21" a="1"/>
  <c r="B82" i="21" a="1"/>
  <c r="B83" i="21" a="1"/>
  <c r="B84" i="21" a="1"/>
  <c r="B85" i="21" a="1"/>
  <c r="B86" i="21" a="1"/>
  <c r="B87" i="21" a="1"/>
  <c r="B88" i="21" a="1"/>
  <c r="B89" i="21" a="1"/>
  <c r="B90" i="21" a="1"/>
  <c r="B91" i="21" a="1"/>
  <c r="B92" i="21" a="1"/>
  <c r="B93" i="21" a="1"/>
  <c r="B94" i="21" a="1"/>
  <c r="B95" i="21" a="1"/>
  <c r="B96" i="21" a="1"/>
  <c r="B2" i="21" a="1"/>
  <c r="E2" i="20"/>
  <c r="E3" i="20" s="1"/>
  <c r="D2" i="20"/>
  <c r="D3" i="20" s="1"/>
  <c r="C2" i="20"/>
  <c r="C3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EC3E40-247C-488A-850F-24083960BB40}" keepAlive="1" name="Query - pao_full_list" description="Connection to the 'pao_full_list' query in the workbook." type="5" refreshedVersion="8" background="1" saveData="1">
    <dbPr connection="Provider=Microsoft.Mashup.OleDb.1;Data Source=$Workbook$;Location=pao_full_list;Extended Properties=&quot;&quot;" command="SELECT * FROM [pao_full_list]"/>
  </connection>
  <connection id="2" xr16:uid="{5A67CFBA-853B-4971-A834-C06C2C03528B}" keepAlive="1" name="Query - pao_object_actions" description="Connection to the 'pao_object_actions' query in the workbook." type="5" refreshedVersion="0" background="1">
    <dbPr connection="Provider=Microsoft.Mashup.OleDb.1;Data Source=$Workbook$;Location=pao_object_actions;Extended Properties=&quot;&quot;" command="SELECT * FROM [pao_object_actions]"/>
  </connection>
  <connection id="3" xr16:uid="{EBE1A352-A996-4AEB-AC27-BC64E322E5EF}" keepAlive="1" name="Query - pao_object_actions_distinct" description="Connection to the 'pao_object_actions_distinct' query in the workbook." type="5" refreshedVersion="0" background="1">
    <dbPr connection="Provider=Microsoft.Mashup.OleDb.1;Data Source=$Workbook$;Location=pao_object_actions_distinct;Extended Properties=&quot;&quot;" command="SELECT * FROM [pao_object_actions_distinct]"/>
  </connection>
  <connection id="4" xr16:uid="{B39CCB6D-3F83-4F3B-9D7F-838E829274D7}" keepAlive="1" name="Query - pao_persons" description="Connection to the 'pao_persons' query in the workbook." type="5" refreshedVersion="0" background="1">
    <dbPr connection="Provider=Microsoft.Mashup.OleDb.1;Data Source=$Workbook$;Location=pao_persons;Extended Properties=&quot;&quot;" command="SELECT * FROM [pao_persons]"/>
  </connection>
  <connection id="5" xr16:uid="{87C4903C-21E8-4B2A-BDDE-2CDA82092A2C}" keepAlive="1" name="Query - pao_remaining_new_scheme" description="Connection to the 'pao_remaining_new_scheme' query in the workbook." type="5" refreshedVersion="0" background="1">
    <dbPr connection="Provider=Microsoft.Mashup.OleDb.1;Data Source=$Workbook$;Location=pao_remaining_new_scheme;Extended Properties=&quot;&quot;" command="SELECT * FROM [pao_remaining_new_scheme]"/>
  </connection>
  <connection id="6" xr16:uid="{7D6D8694-9889-47CE-A31B-23917380D443}" keepAlive="1" name="Query - pao_reorganized_new_scheme" description="Connection to the 'pao_reorganized_new_scheme' query in the workbook." type="5" refreshedVersion="0" background="1">
    <dbPr connection="Provider=Microsoft.Mashup.OleDb.1;Data Source=$Workbook$;Location=pao_reorganized_new_scheme;Extended Properties=&quot;&quot;" command="SELECT * FROM [pao_reorganized_new_schem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<sst xmlns="http://schemas.openxmlformats.org/spreadsheetml/2006/main" count="3039" uniqueCount="1250">
  <si>
    <t>Category</t>
  </si>
  <si>
    <t>Person</t>
  </si>
  <si>
    <t>Art</t>
  </si>
  <si>
    <t>s</t>
  </si>
  <si>
    <t>t</t>
  </si>
  <si>
    <t>n</t>
  </si>
  <si>
    <t>m</t>
  </si>
  <si>
    <t>r</t>
  </si>
  <si>
    <t>l</t>
  </si>
  <si>
    <t>d</t>
  </si>
  <si>
    <t>c</t>
  </si>
  <si>
    <t>b</t>
  </si>
  <si>
    <t>a</t>
  </si>
  <si>
    <t>e</t>
  </si>
  <si>
    <t>g</t>
  </si>
  <si>
    <t>h</t>
  </si>
  <si>
    <t>o</t>
  </si>
  <si>
    <t>ą</t>
  </si>
  <si>
    <t>ć</t>
  </si>
  <si>
    <t>ę</t>
  </si>
  <si>
    <t>f</t>
  </si>
  <si>
    <t>i</t>
  </si>
  <si>
    <t>j</t>
  </si>
  <si>
    <t>k</t>
  </si>
  <si>
    <t>ł</t>
  </si>
  <si>
    <t>ń</t>
  </si>
  <si>
    <t>ó</t>
  </si>
  <si>
    <t>p</t>
  </si>
  <si>
    <t>q</t>
  </si>
  <si>
    <t>ś</t>
  </si>
  <si>
    <t>u</t>
  </si>
  <si>
    <t>v</t>
  </si>
  <si>
    <t>w</t>
  </si>
  <si>
    <t>x</t>
  </si>
  <si>
    <t>y</t>
  </si>
  <si>
    <t>z</t>
  </si>
  <si>
    <t>ź</t>
  </si>
  <si>
    <t>ż</t>
  </si>
  <si>
    <t>egg</t>
  </si>
  <si>
    <t>lips</t>
  </si>
  <si>
    <t>knife</t>
  </si>
  <si>
    <t>axe</t>
  </si>
  <si>
    <t>coat hanger</t>
  </si>
  <si>
    <t>00</t>
  </si>
  <si>
    <t>01</t>
  </si>
  <si>
    <t>03</t>
  </si>
  <si>
    <t>04</t>
  </si>
  <si>
    <t>05</t>
  </si>
  <si>
    <t>06</t>
  </si>
  <si>
    <t>07</t>
  </si>
  <si>
    <t>08</t>
  </si>
  <si>
    <t>09</t>
  </si>
  <si>
    <t>02</t>
  </si>
  <si>
    <t>high heels</t>
  </si>
  <si>
    <t>snail</t>
  </si>
  <si>
    <t>alarm clock</t>
  </si>
  <si>
    <t>teeth</t>
  </si>
  <si>
    <t>bra</t>
  </si>
  <si>
    <t>[s|z|c]</t>
  </si>
  <si>
    <t>[t|d]</t>
  </si>
  <si>
    <t>[k|c|g|ch|q|qu]</t>
  </si>
  <si>
    <t>[f|v]</t>
  </si>
  <si>
    <t>[sh|ch|j|g|zh]</t>
  </si>
  <si>
    <t>[p|b]</t>
  </si>
  <si>
    <t>[p|f]</t>
  </si>
  <si>
    <t>[b|h|v|w]</t>
  </si>
  <si>
    <t>[c|k|g|p]</t>
  </si>
  <si>
    <t>[s|x|z]</t>
  </si>
  <si>
    <t>[g|j]</t>
  </si>
  <si>
    <t>[f|th]</t>
  </si>
  <si>
    <t>oo</t>
  </si>
  <si>
    <t>A</t>
  </si>
  <si>
    <t>E</t>
  </si>
  <si>
    <t>I</t>
  </si>
  <si>
    <t>O</t>
  </si>
  <si>
    <t>P</t>
  </si>
  <si>
    <t>X</t>
  </si>
  <si>
    <t>Y</t>
  </si>
  <si>
    <t>Z</t>
  </si>
  <si>
    <t>heart</t>
  </si>
  <si>
    <t>Object</t>
  </si>
  <si>
    <t>ladder</t>
  </si>
  <si>
    <t>butterfly</t>
  </si>
  <si>
    <t>foot</t>
  </si>
  <si>
    <t>fibbonaci series</t>
  </si>
  <si>
    <t>baby</t>
  </si>
  <si>
    <t>teaspoon</t>
  </si>
  <si>
    <t>toad</t>
  </si>
  <si>
    <t>bell</t>
  </si>
  <si>
    <t>ring</t>
  </si>
  <si>
    <t>skate</t>
  </si>
  <si>
    <t>breasts</t>
  </si>
  <si>
    <t>fish</t>
  </si>
  <si>
    <t>toffee</t>
  </si>
  <si>
    <t>tunnel</t>
  </si>
  <si>
    <t>necklace</t>
  </si>
  <si>
    <t>nerd glasses</t>
  </si>
  <si>
    <t>mountain</t>
  </si>
  <si>
    <t>mail</t>
  </si>
  <si>
    <t>milk</t>
  </si>
  <si>
    <t>ribbon</t>
  </si>
  <si>
    <t>moon</t>
  </si>
  <si>
    <t>radar</t>
  </si>
  <si>
    <t>mob</t>
  </si>
  <si>
    <t>lightbulb</t>
  </si>
  <si>
    <t>disc</t>
  </si>
  <si>
    <t>doll</t>
  </si>
  <si>
    <t>duck</t>
  </si>
  <si>
    <t>daffodil</t>
  </si>
  <si>
    <t>dumbbell</t>
  </si>
  <si>
    <t>card</t>
  </si>
  <si>
    <t>car</t>
  </si>
  <si>
    <t>glue</t>
  </si>
  <si>
    <t>fire</t>
  </si>
  <si>
    <t>fluff</t>
  </si>
  <si>
    <t>Action</t>
  </si>
  <si>
    <t>swinging</t>
  </si>
  <si>
    <t>sitting</t>
  </si>
  <si>
    <t>passing</t>
  </si>
  <si>
    <t>squashing</t>
  </si>
  <si>
    <t>blowing</t>
  </si>
  <si>
    <t>tearing</t>
  </si>
  <si>
    <t>catching</t>
  </si>
  <si>
    <t>peeling</t>
  </si>
  <si>
    <t>bending</t>
  </si>
  <si>
    <t>measuring</t>
  </si>
  <si>
    <t>launching</t>
  </si>
  <si>
    <t>climbing</t>
  </si>
  <si>
    <t>licking</t>
  </si>
  <si>
    <t>throwing</t>
  </si>
  <si>
    <t>lifting</t>
  </si>
  <si>
    <t>driving</t>
  </si>
  <si>
    <t>waving</t>
  </si>
  <si>
    <t>playing</t>
  </si>
  <si>
    <t>sliding</t>
  </si>
  <si>
    <t>Sylvester Stallone</t>
  </si>
  <si>
    <t>Salvador Dali</t>
  </si>
  <si>
    <t>Steve Jobs</t>
  </si>
  <si>
    <t>apple</t>
  </si>
  <si>
    <t>Spiderman</t>
  </si>
  <si>
    <t>Thomas Jefferson</t>
  </si>
  <si>
    <t>Nikola Tesla</t>
  </si>
  <si>
    <t>Charlie Chaplin</t>
  </si>
  <si>
    <t>Robin Hood</t>
  </si>
  <si>
    <t>Snoopy</t>
  </si>
  <si>
    <t>Superman</t>
  </si>
  <si>
    <t>Sailor Moon</t>
  </si>
  <si>
    <t>Tina Turner</t>
  </si>
  <si>
    <t>Neo</t>
  </si>
  <si>
    <t>Neil Armstrong</t>
  </si>
  <si>
    <t>Nelson Mandela</t>
  </si>
  <si>
    <t>Nefertiti</t>
  </si>
  <si>
    <t>Mufasa</t>
  </si>
  <si>
    <t>Rapunzel</t>
  </si>
  <si>
    <t>Luke Skywalker</t>
  </si>
  <si>
    <t>Leonardo da Vinci</t>
  </si>
  <si>
    <t>Lara Croft</t>
  </si>
  <si>
    <t>Lancelot</t>
  </si>
  <si>
    <t>Gandalf</t>
  </si>
  <si>
    <t>Kojak</t>
  </si>
  <si>
    <t>Freddie Mercury</t>
  </si>
  <si>
    <t>Frodo Baggins</t>
  </si>
  <si>
    <t>Phoebe Buffay</t>
  </si>
  <si>
    <t>Batman</t>
  </si>
  <si>
    <t>Napoleon Bonaparte</t>
  </si>
  <si>
    <t>Barack Obama</t>
  </si>
  <si>
    <t>riding</t>
  </si>
  <si>
    <t>horse</t>
  </si>
  <si>
    <t>arrow</t>
  </si>
  <si>
    <t>Sherlock Holmes</t>
  </si>
  <si>
    <t>microphone</t>
  </si>
  <si>
    <t>Albert Einstein</t>
  </si>
  <si>
    <t>Ludvig van Bethoven</t>
  </si>
  <si>
    <t>sucking</t>
  </si>
  <si>
    <t>Bruce Lee</t>
  </si>
  <si>
    <t>John Lennon</t>
  </si>
  <si>
    <t>Monica Belluci</t>
  </si>
  <si>
    <t>Benjamin Franklin</t>
  </si>
  <si>
    <t>kite</t>
  </si>
  <si>
    <t>Harry Potter</t>
  </si>
  <si>
    <t>Maria Skłodowska-Curie</t>
  </si>
  <si>
    <t>Fred Flinstone</t>
  </si>
  <si>
    <t>James Bond</t>
  </si>
  <si>
    <t>Winston Churchil</t>
  </si>
  <si>
    <t>Reihold Messner</t>
  </si>
  <si>
    <t>Jaffar</t>
  </si>
  <si>
    <t>Michael Jordan</t>
  </si>
  <si>
    <t>Michael Phelps</t>
  </si>
  <si>
    <t>Mr. Bean</t>
  </si>
  <si>
    <t>Letter</t>
  </si>
  <si>
    <t>PL-Freq</t>
  </si>
  <si>
    <t>EN-Freq</t>
  </si>
  <si>
    <t>Digit</t>
  </si>
  <si>
    <t>Major (phonetic)</t>
  </si>
  <si>
    <t>Feinaigle's (literal)</t>
  </si>
  <si>
    <t>Dominic (literal)</t>
  </si>
  <si>
    <t>Ben-initial</t>
  </si>
  <si>
    <t>Ben-middle</t>
  </si>
  <si>
    <t>Ben-ending</t>
  </si>
  <si>
    <t>unassigned</t>
  </si>
  <si>
    <t>[w,h,y + vowels]</t>
  </si>
  <si>
    <t>[j+vowels]</t>
  </si>
  <si>
    <t>Kosmonauta</t>
  </si>
  <si>
    <t>Geralt z Rivii</t>
  </si>
  <si>
    <t>Bilbo Baggins</t>
  </si>
  <si>
    <t>Anakin Skywalker</t>
  </si>
  <si>
    <t>Arwena</t>
  </si>
  <si>
    <t>Trinity</t>
  </si>
  <si>
    <t>Galadriella</t>
  </si>
  <si>
    <t>Abraham Lincoln</t>
  </si>
  <si>
    <t>Chinggis Khan</t>
  </si>
  <si>
    <t>Dalajlama XIV</t>
  </si>
  <si>
    <t>Jan III Sobieski</t>
  </si>
  <si>
    <t>Jerzy Kukuczka</t>
  </si>
  <si>
    <t>Józef Piłsudski</t>
  </si>
  <si>
    <t>Muminek</t>
  </si>
  <si>
    <t>Alf</t>
  </si>
  <si>
    <t>Golum</t>
  </si>
  <si>
    <t>Yoda</t>
  </si>
  <si>
    <t>Buka</t>
  </si>
  <si>
    <t>Shrek</t>
  </si>
  <si>
    <t>Neytiri</t>
  </si>
  <si>
    <t>James P. Sullivan</t>
  </si>
  <si>
    <t>Jinni</t>
  </si>
  <si>
    <t>Wiliam Shakespeare</t>
  </si>
  <si>
    <t>Shakira</t>
  </si>
  <si>
    <t>Fryderyk Chopin</t>
  </si>
  <si>
    <t>Vanessa Mae</t>
  </si>
  <si>
    <t>J.K. Rowling</t>
  </si>
  <si>
    <t>Woody Allen</t>
  </si>
  <si>
    <t>Kleopatra</t>
  </si>
  <si>
    <t>Benazir Bhutto</t>
  </si>
  <si>
    <t>Mata Hari</t>
  </si>
  <si>
    <t>Julia Tymoszenko</t>
  </si>
  <si>
    <t>Cindy Crawford</t>
  </si>
  <si>
    <t>Oprah Winfrey</t>
  </si>
  <si>
    <t>Angelina Jolie</t>
  </si>
  <si>
    <t>Kate Winslet</t>
  </si>
  <si>
    <t>Julia Roberts</t>
  </si>
  <si>
    <t>Penelope Cruz</t>
  </si>
  <si>
    <t>Sigourney Weaver</t>
  </si>
  <si>
    <t>Pamela Anderson</t>
  </si>
  <si>
    <t>Katherine Zeta Jones</t>
  </si>
  <si>
    <t>Meryl Streep</t>
  </si>
  <si>
    <t>Emma Thompson</t>
  </si>
  <si>
    <t>Santa Claus</t>
  </si>
  <si>
    <t>Kurt Russel</t>
  </si>
  <si>
    <t>Janosik</t>
  </si>
  <si>
    <t>Marek Perepeczko</t>
  </si>
  <si>
    <t>John Rambo</t>
  </si>
  <si>
    <t>Michael Pread</t>
  </si>
  <si>
    <t>Jack Sparrow</t>
  </si>
  <si>
    <t>Johnny Depp</t>
  </si>
  <si>
    <t>Benedict Cumberbatch</t>
  </si>
  <si>
    <t>Indiana Jones</t>
  </si>
  <si>
    <t>Harrison Ford</t>
  </si>
  <si>
    <t>lasso</t>
  </si>
  <si>
    <t>Winnetou</t>
  </si>
  <si>
    <t>Zorro</t>
  </si>
  <si>
    <t>Antonio Banderas</t>
  </si>
  <si>
    <t>Steven Hawking</t>
  </si>
  <si>
    <t>Stefan Banach</t>
  </si>
  <si>
    <t>Rudolf Weigl</t>
  </si>
  <si>
    <t>Linus Pauling</t>
  </si>
  <si>
    <t>Robert de Niro</t>
  </si>
  <si>
    <t>Jack Nicholson</t>
  </si>
  <si>
    <t>Morgan Freeman</t>
  </si>
  <si>
    <t>Clint Eastwood</t>
  </si>
  <si>
    <t>Arnold Schwarzenegger</t>
  </si>
  <si>
    <t>Luis de Funes</t>
  </si>
  <si>
    <t>Keanu Reaves</t>
  </si>
  <si>
    <t>dart</t>
  </si>
  <si>
    <t>jeans</t>
  </si>
  <si>
    <t>Richard Feynman</t>
  </si>
  <si>
    <t>Robert Oppenheimer</t>
  </si>
  <si>
    <t>Myamoto Musashi</t>
  </si>
  <si>
    <t>towel</t>
  </si>
  <si>
    <t>sword</t>
  </si>
  <si>
    <t>Moomin</t>
  </si>
  <si>
    <t>kissing</t>
  </si>
  <si>
    <t>staring into</t>
  </si>
  <si>
    <t>hair</t>
  </si>
  <si>
    <t>Don Johnson</t>
  </si>
  <si>
    <t>Leonardo di Caprio</t>
  </si>
  <si>
    <t>bomb</t>
  </si>
  <si>
    <t>rubbing</t>
  </si>
  <si>
    <t>hugging</t>
  </si>
  <si>
    <t>donut</t>
  </si>
  <si>
    <t>Grzegorz Mendel</t>
  </si>
  <si>
    <t>Thorin</t>
  </si>
  <si>
    <t>book</t>
  </si>
  <si>
    <t>Obi Wan Kenobi</t>
  </si>
  <si>
    <t>Tom Hanks</t>
  </si>
  <si>
    <t>Nicolaus Copernicus</t>
  </si>
  <si>
    <t>Tadeusz Kościuszko</t>
  </si>
  <si>
    <t>Niki Lauda</t>
  </si>
  <si>
    <t>Nostradamus</t>
  </si>
  <si>
    <t>Rita Levi Montalcini</t>
  </si>
  <si>
    <t>R2D2</t>
  </si>
  <si>
    <t>guitar</t>
  </si>
  <si>
    <t>Fridtjof Nansen</t>
  </si>
  <si>
    <t>Diego Maradona</t>
  </si>
  <si>
    <t>fork</t>
  </si>
  <si>
    <t>Big Foot</t>
  </si>
  <si>
    <t>dragging</t>
  </si>
  <si>
    <t>Johanees Kepler</t>
  </si>
  <si>
    <t>Obelix</t>
  </si>
  <si>
    <t>Remulus &amp; Remus</t>
  </si>
  <si>
    <t>Helmut Newton</t>
  </si>
  <si>
    <t>Pablo Escobar</t>
  </si>
  <si>
    <t>John Travolta</t>
  </si>
  <si>
    <t>Lenin</t>
  </si>
  <si>
    <t>Howard Wolowitz</t>
  </si>
  <si>
    <t>Sheldon Cooper</t>
  </si>
  <si>
    <t>crow</t>
  </si>
  <si>
    <t>football</t>
  </si>
  <si>
    <t>Erwin Schroedringer</t>
  </si>
  <si>
    <t>cat</t>
  </si>
  <si>
    <t>biting</t>
  </si>
  <si>
    <t>Margaret Houlihan</t>
  </si>
  <si>
    <t>Saruman</t>
  </si>
  <si>
    <t>whipping</t>
  </si>
  <si>
    <t>juggling</t>
  </si>
  <si>
    <t>tossing</t>
  </si>
  <si>
    <t>violin</t>
  </si>
  <si>
    <t>scratching</t>
  </si>
  <si>
    <t>sniffing</t>
  </si>
  <si>
    <t>rocket</t>
  </si>
  <si>
    <t>drinking</t>
  </si>
  <si>
    <t>drawing</t>
  </si>
  <si>
    <t>Translation</t>
  </si>
  <si>
    <t>J.R.R.Tolkien</t>
  </si>
  <si>
    <t>Penny Hofstadder</t>
  </si>
  <si>
    <t>Jimi Hendrix</t>
  </si>
  <si>
    <t>Bruce Willis</t>
  </si>
  <si>
    <t>Hulk Hogan</t>
  </si>
  <si>
    <t>Homer Simpson</t>
  </si>
  <si>
    <t>Willy Wonka</t>
  </si>
  <si>
    <t>Whitney Houston</t>
  </si>
  <si>
    <t>Frida Kahlo</t>
  </si>
  <si>
    <t>George Washington</t>
  </si>
  <si>
    <t>Vincent van Gogh</t>
  </si>
  <si>
    <t>Warren Buffet</t>
  </si>
  <si>
    <t>chewing</t>
  </si>
  <si>
    <t>Hugh Grant</t>
  </si>
  <si>
    <t>Terry Pratchett</t>
  </si>
  <si>
    <t>Spock</t>
  </si>
  <si>
    <t>Kobe Bryant</t>
  </si>
  <si>
    <t>Denzel Washington</t>
  </si>
  <si>
    <t>Hans Christian Andersen</t>
  </si>
  <si>
    <t>Russel Crowe</t>
  </si>
  <si>
    <t>Ernest Hemnigway</t>
  </si>
  <si>
    <t>Buster Keaton</t>
  </si>
  <si>
    <t>History</t>
  </si>
  <si>
    <t>Myths</t>
  </si>
  <si>
    <t>Catwoman</t>
  </si>
  <si>
    <t>Literature</t>
  </si>
  <si>
    <t>Unreal</t>
  </si>
  <si>
    <t>Inventors</t>
  </si>
  <si>
    <t>Players</t>
  </si>
  <si>
    <t>Research</t>
  </si>
  <si>
    <t>Showbusiness</t>
  </si>
  <si>
    <t>Graphics</t>
  </si>
  <si>
    <t>Code</t>
  </si>
  <si>
    <t>Isaac Newton</t>
  </si>
  <si>
    <t>Tony Stark</t>
  </si>
  <si>
    <t>Maverick</t>
  </si>
  <si>
    <t>Augustine Rodin</t>
  </si>
  <si>
    <t>Medusa</t>
  </si>
  <si>
    <t>Vishnu</t>
  </si>
  <si>
    <t>Hercules</t>
  </si>
  <si>
    <t>Icarus</t>
  </si>
  <si>
    <t>Thor</t>
  </si>
  <si>
    <t>Woody Woodpecker</t>
  </si>
  <si>
    <t>James Watson</t>
  </si>
  <si>
    <t>Hulk</t>
  </si>
  <si>
    <t>Socrates</t>
  </si>
  <si>
    <t>Niels Bohr</t>
  </si>
  <si>
    <t>Magaret Thatcher</t>
  </si>
  <si>
    <t>Juliusz Ceasar</t>
  </si>
  <si>
    <t>Wladyslaw Jagiello</t>
  </si>
  <si>
    <t>Adolf Hitler</t>
  </si>
  <si>
    <t>Thomas Edison</t>
  </si>
  <si>
    <t>Charles Babbage</t>
  </si>
  <si>
    <t>Mike Tyson</t>
  </si>
  <si>
    <t>Serena Williams</t>
  </si>
  <si>
    <t>Marylin Monroe</t>
  </si>
  <si>
    <t>Poseidon</t>
  </si>
  <si>
    <t>Jack London</t>
  </si>
  <si>
    <t>Steven Spilberg</t>
  </si>
  <si>
    <t>Pierre-Auguste Renoir</t>
  </si>
  <si>
    <t>Mahatma Ghandi</t>
  </si>
  <si>
    <t>Maximilien Robespierre</t>
  </si>
  <si>
    <t>James Watt</t>
  </si>
  <si>
    <t>Steve Wozniak</t>
  </si>
  <si>
    <t>Michael Schumacher</t>
  </si>
  <si>
    <t>Wayne Gretzky</t>
  </si>
  <si>
    <t>Wednesday Addams</t>
  </si>
  <si>
    <t>Eros</t>
  </si>
  <si>
    <t>John Rockefeller</t>
  </si>
  <si>
    <t>Carl Lewis</t>
  </si>
  <si>
    <t>Nadia Comăneci</t>
  </si>
  <si>
    <t>Kermit</t>
  </si>
  <si>
    <t>Audrey Hepburn</t>
  </si>
  <si>
    <t>Willhelm Reontgen</t>
  </si>
  <si>
    <t>Carl Linnaeus</t>
  </si>
  <si>
    <t>banjo</t>
  </si>
  <si>
    <t>iPhone</t>
  </si>
  <si>
    <t>Pinokio</t>
  </si>
  <si>
    <t>palantir</t>
  </si>
  <si>
    <t>Artur Rubinstein</t>
  </si>
  <si>
    <t>Ironman</t>
  </si>
  <si>
    <t>Sha'Carri Richardson</t>
  </si>
  <si>
    <t>Kevin Costner</t>
  </si>
  <si>
    <t>Virginia Apgar</t>
  </si>
  <si>
    <t>Thor Heyerdahl</t>
  </si>
  <si>
    <t>Christian Barnard</t>
  </si>
  <si>
    <t>Soichiro Honda</t>
  </si>
  <si>
    <t>Jack Kilby</t>
  </si>
  <si>
    <t>Igor Sikorsky</t>
  </si>
  <si>
    <t>Prometeusz</t>
  </si>
  <si>
    <t>inflating</t>
  </si>
  <si>
    <t>Thedore Roosvelt</t>
  </si>
  <si>
    <t>hunting</t>
  </si>
  <si>
    <t>Guy Fawkes</t>
  </si>
  <si>
    <t>Alfred Hitchcock</t>
  </si>
  <si>
    <t>Jerry</t>
  </si>
  <si>
    <t>lightsaber</t>
  </si>
  <si>
    <t>dragon</t>
  </si>
  <si>
    <t>feeding</t>
  </si>
  <si>
    <t>Alladin</t>
  </si>
  <si>
    <t>magic lamp</t>
  </si>
  <si>
    <t>Hiccup</t>
  </si>
  <si>
    <t xml:space="preserve">Dracula </t>
  </si>
  <si>
    <t>brain</t>
  </si>
  <si>
    <t>cooking</t>
  </si>
  <si>
    <t>stomping</t>
  </si>
  <si>
    <t>footprint</t>
  </si>
  <si>
    <t>bottle of rum</t>
  </si>
  <si>
    <t>punching</t>
  </si>
  <si>
    <t>punching bag</t>
  </si>
  <si>
    <t>relay baton</t>
  </si>
  <si>
    <t>balance beam</t>
  </si>
  <si>
    <t>Terminator T-1000</t>
  </si>
  <si>
    <t>stopping with hand</t>
  </si>
  <si>
    <t>safe</t>
  </si>
  <si>
    <t xml:space="preserve">Venom </t>
  </si>
  <si>
    <t>snake</t>
  </si>
  <si>
    <t>tapping</t>
  </si>
  <si>
    <t>piano keys</t>
  </si>
  <si>
    <t>diamond</t>
  </si>
  <si>
    <t>blowing a kiss</t>
  </si>
  <si>
    <t>batarang</t>
  </si>
  <si>
    <t>bullet</t>
  </si>
  <si>
    <t>vial with poison</t>
  </si>
  <si>
    <t>painting</t>
  </si>
  <si>
    <t>twisting</t>
  </si>
  <si>
    <t>pecking</t>
  </si>
  <si>
    <t>log</t>
  </si>
  <si>
    <t>talking to</t>
  </si>
  <si>
    <t>framing</t>
  </si>
  <si>
    <t>pushing</t>
  </si>
  <si>
    <t>boulder</t>
  </si>
  <si>
    <t>Sisyphus</t>
  </si>
  <si>
    <t>Elon Musk</t>
  </si>
  <si>
    <t>globe</t>
  </si>
  <si>
    <t>chasing</t>
  </si>
  <si>
    <t>pigeon</t>
  </si>
  <si>
    <t>coin</t>
  </si>
  <si>
    <t>reaching for</t>
  </si>
  <si>
    <t>notebook</t>
  </si>
  <si>
    <t>Lewis Carroll</t>
  </si>
  <si>
    <t>Gordon Ramsey</t>
  </si>
  <si>
    <t>seasoning</t>
  </si>
  <si>
    <t>steak</t>
  </si>
  <si>
    <t>scroll of U.S. constitution</t>
  </si>
  <si>
    <t>John Dolittle</t>
  </si>
  <si>
    <t>bandaging</t>
  </si>
  <si>
    <t>Michelangelo Buonarotti</t>
  </si>
  <si>
    <t>chiseling</t>
  </si>
  <si>
    <t>C.S.Lewis</t>
  </si>
  <si>
    <t>raft</t>
  </si>
  <si>
    <t>Ansel Adams</t>
  </si>
  <si>
    <t>sculpture</t>
  </si>
  <si>
    <t>Harper Lee</t>
  </si>
  <si>
    <t>Thomas Mann</t>
  </si>
  <si>
    <t>podium</t>
  </si>
  <si>
    <t xml:space="preserve">Frodo Baggins </t>
  </si>
  <si>
    <t>rabbit</t>
  </si>
  <si>
    <t>smashing</t>
  </si>
  <si>
    <t>bricks</t>
  </si>
  <si>
    <t>karate kicking</t>
  </si>
  <si>
    <t>presenting</t>
  </si>
  <si>
    <t>Walter White</t>
  </si>
  <si>
    <t>Holly Gollightly</t>
  </si>
  <si>
    <t>shield</t>
  </si>
  <si>
    <t>blue crystals</t>
  </si>
  <si>
    <t>Dionisos</t>
  </si>
  <si>
    <t>counting</t>
  </si>
  <si>
    <t>petting</t>
  </si>
  <si>
    <t>Person derivation</t>
  </si>
  <si>
    <t>Person identity: Face</t>
  </si>
  <si>
    <t>Person identity: Costume</t>
  </si>
  <si>
    <t>Person identity: Attribute</t>
  </si>
  <si>
    <t>Object derivation</t>
  </si>
  <si>
    <t>Action derivation</t>
  </si>
  <si>
    <t>Claude Monet</t>
  </si>
  <si>
    <t>Rimsky-Korsakov</t>
  </si>
  <si>
    <t>clouds</t>
  </si>
  <si>
    <t>bandage</t>
  </si>
  <si>
    <t>Levi Strauss</t>
  </si>
  <si>
    <t>ironing</t>
  </si>
  <si>
    <t>bear</t>
  </si>
  <si>
    <t>plugging in</t>
  </si>
  <si>
    <t>cannonball</t>
  </si>
  <si>
    <t>backlighting</t>
  </si>
  <si>
    <t>slapping</t>
  </si>
  <si>
    <t>force-lifting</t>
  </si>
  <si>
    <t>dropping</t>
  </si>
  <si>
    <t>kneeing</t>
  </si>
  <si>
    <t>jumping over</t>
  </si>
  <si>
    <t>bouncing off</t>
  </si>
  <si>
    <t>stitching</t>
  </si>
  <si>
    <t>sorting</t>
  </si>
  <si>
    <t>photographing</t>
  </si>
  <si>
    <t>squezzing</t>
  </si>
  <si>
    <t>Baron Muenhaussen</t>
  </si>
  <si>
    <t>rolling</t>
  </si>
  <si>
    <t>fern</t>
  </si>
  <si>
    <t>ball of sparks</t>
  </si>
  <si>
    <t>puck</t>
  </si>
  <si>
    <t>bouncing</t>
  </si>
  <si>
    <t>serving</t>
  </si>
  <si>
    <t>plank</t>
  </si>
  <si>
    <t>saguaro cactus</t>
  </si>
  <si>
    <t>firehose</t>
  </si>
  <si>
    <t>folding</t>
  </si>
  <si>
    <t>soldering</t>
  </si>
  <si>
    <t>DIP IC</t>
  </si>
  <si>
    <t>Stan Lee</t>
  </si>
  <si>
    <t>Josephine Cochrane</t>
  </si>
  <si>
    <t>washing</t>
  </si>
  <si>
    <t>plate</t>
  </si>
  <si>
    <t>revolver</t>
  </si>
  <si>
    <t>bench</t>
  </si>
  <si>
    <t>wolf</t>
  </si>
  <si>
    <t>bedsheet</t>
  </si>
  <si>
    <t>covering herself</t>
  </si>
  <si>
    <t>skull</t>
  </si>
  <si>
    <t>water lily</t>
  </si>
  <si>
    <t>sunflower</t>
  </si>
  <si>
    <t>bumblebee</t>
  </si>
  <si>
    <t>conducting</t>
  </si>
  <si>
    <t>Vitruvian Man</t>
  </si>
  <si>
    <t>grapes</t>
  </si>
  <si>
    <t>mirror</t>
  </si>
  <si>
    <t>conch shell</t>
  </si>
  <si>
    <t>club</t>
  </si>
  <si>
    <t>sun</t>
  </si>
  <si>
    <t>Holy Grail</t>
  </si>
  <si>
    <t>kneeling before</t>
  </si>
  <si>
    <t>onion</t>
  </si>
  <si>
    <t>dandelion</t>
  </si>
  <si>
    <t>cheese</t>
  </si>
  <si>
    <t>X-ray image of a hand</t>
  </si>
  <si>
    <t>DNA model</t>
  </si>
  <si>
    <t>rowing</t>
  </si>
  <si>
    <t>leaning on</t>
  </si>
  <si>
    <t>unfinished Death Star</t>
  </si>
  <si>
    <t>handbag</t>
  </si>
  <si>
    <t>gunpowder barrel</t>
  </si>
  <si>
    <t>shouting into</t>
  </si>
  <si>
    <t>dice</t>
  </si>
  <si>
    <t>Edison light bulb</t>
  </si>
  <si>
    <t>banknotes</t>
  </si>
  <si>
    <t>red F1 car</t>
  </si>
  <si>
    <t>tennis ball</t>
  </si>
  <si>
    <t>doing a handstand on</t>
  </si>
  <si>
    <t>bunch of gold medals</t>
  </si>
  <si>
    <t>splashing water on</t>
  </si>
  <si>
    <t>flying on</t>
  </si>
  <si>
    <t>survival knife</t>
  </si>
  <si>
    <t>excavating</t>
  </si>
  <si>
    <t>shaking by hand</t>
  </si>
  <si>
    <t>chains</t>
  </si>
  <si>
    <t>cigarette</t>
  </si>
  <si>
    <t>inking</t>
  </si>
  <si>
    <t>comic</t>
  </si>
  <si>
    <t>Major (literal)</t>
  </si>
  <si>
    <t>[s|z|o]</t>
  </si>
  <si>
    <t>[t|d|a]</t>
  </si>
  <si>
    <t>[n|m]</t>
  </si>
  <si>
    <t>[f|g|e]</t>
  </si>
  <si>
    <t>[r|q]</t>
  </si>
  <si>
    <t>[v|w|u]</t>
  </si>
  <si>
    <t>[h|x]</t>
  </si>
  <si>
    <t>[c|k|i]</t>
  </si>
  <si>
    <t>[l|j|y]</t>
  </si>
  <si>
    <t>Count</t>
  </si>
  <si>
    <t>Count (distinct)</t>
  </si>
  <si>
    <t>measuring jug</t>
  </si>
  <si>
    <t>catsuit</t>
  </si>
  <si>
    <t>bongo drums</t>
  </si>
  <si>
    <t>headphones</t>
  </si>
  <si>
    <t>speakers</t>
  </si>
  <si>
    <t>binoculars</t>
  </si>
  <si>
    <t>grenade</t>
  </si>
  <si>
    <t>tennis racket</t>
  </si>
  <si>
    <t>golf club</t>
  </si>
  <si>
    <t>walking stick</t>
  </si>
  <si>
    <t>padlock</t>
  </si>
  <si>
    <t>key</t>
  </si>
  <si>
    <t>chef knife</t>
  </si>
  <si>
    <t>whistle</t>
  </si>
  <si>
    <t>frog eyes</t>
  </si>
  <si>
    <t>mermaid</t>
  </si>
  <si>
    <t>bow</t>
  </si>
  <si>
    <t>straw</t>
  </si>
  <si>
    <t>muscle arm</t>
  </si>
  <si>
    <t>monkey</t>
  </si>
  <si>
    <t>bull</t>
  </si>
  <si>
    <t>scooter</t>
  </si>
  <si>
    <t>highfive</t>
  </si>
  <si>
    <t>pick up van</t>
  </si>
  <si>
    <t>mouse</t>
  </si>
  <si>
    <t>umbrella</t>
  </si>
  <si>
    <t>shark</t>
  </si>
  <si>
    <t>jelly fish</t>
  </si>
  <si>
    <t>gondola</t>
  </si>
  <si>
    <t>swan</t>
  </si>
  <si>
    <t>snowman</t>
  </si>
  <si>
    <t>woodpecker</t>
  </si>
  <si>
    <t>disabled chair</t>
  </si>
  <si>
    <t>rose</t>
  </si>
  <si>
    <t>needle</t>
  </si>
  <si>
    <t>thread</t>
  </si>
  <si>
    <t>baby dummy</t>
  </si>
  <si>
    <t>baloons</t>
  </si>
  <si>
    <t>banner</t>
  </si>
  <si>
    <t>barrel</t>
  </si>
  <si>
    <t>bat</t>
  </si>
  <si>
    <t>bee</t>
  </si>
  <si>
    <t>beetle car</t>
  </si>
  <si>
    <t>biker with helmet</t>
  </si>
  <si>
    <t>blacksmith anvil</t>
  </si>
  <si>
    <t>boxer’s glove</t>
  </si>
  <si>
    <t>broom</t>
  </si>
  <si>
    <t>bus</t>
  </si>
  <si>
    <t>camel</t>
  </si>
  <si>
    <t>cannon</t>
  </si>
  <si>
    <t>chihuahua</t>
  </si>
  <si>
    <t>chopping board</t>
  </si>
  <si>
    <t>comb</t>
  </si>
  <si>
    <t>concrete mixer truck</t>
  </si>
  <si>
    <t>crane hook</t>
  </si>
  <si>
    <t>crocodile</t>
  </si>
  <si>
    <t>cuckoo</t>
  </si>
  <si>
    <t>cuff</t>
  </si>
  <si>
    <t xml:space="preserve">dodo </t>
  </si>
  <si>
    <t>dollar sign</t>
  </si>
  <si>
    <t>dome</t>
  </si>
  <si>
    <t>drum</t>
  </si>
  <si>
    <t>drum sticks</t>
  </si>
  <si>
    <t>elephant</t>
  </si>
  <si>
    <t>exercise bike</t>
  </si>
  <si>
    <t>fan</t>
  </si>
  <si>
    <t>fedora hat</t>
  </si>
  <si>
    <t>fire extinguisher</t>
  </si>
  <si>
    <t>fishing tackle</t>
  </si>
  <si>
    <t>flute</t>
  </si>
  <si>
    <t>foam</t>
  </si>
  <si>
    <t>forklift</t>
  </si>
  <si>
    <t>girl on a unicycle</t>
  </si>
  <si>
    <t>gnome</t>
  </si>
  <si>
    <t>goat with horns</t>
  </si>
  <si>
    <t>golf ball</t>
  </si>
  <si>
    <t>harp</t>
  </si>
  <si>
    <t>hoover</t>
  </si>
  <si>
    <t>kebab</t>
  </si>
  <si>
    <t>lantern</t>
  </si>
  <si>
    <t>laptop 64 bit</t>
  </si>
  <si>
    <t>leaf</t>
  </si>
  <si>
    <t>lemon</t>
  </si>
  <si>
    <t>lighter</t>
  </si>
  <si>
    <t>lion</t>
  </si>
  <si>
    <t>lock</t>
  </si>
  <si>
    <t>lollipop</t>
  </si>
  <si>
    <t>medal</t>
  </si>
  <si>
    <t>megaphone</t>
  </si>
  <si>
    <t>muffin</t>
  </si>
  <si>
    <t>mummy</t>
  </si>
  <si>
    <t>mushrooms</t>
  </si>
  <si>
    <t>nail</t>
  </si>
  <si>
    <t>net</t>
  </si>
  <si>
    <t>ninja turtle</t>
  </si>
  <si>
    <t>nose</t>
  </si>
  <si>
    <t>pipe</t>
  </si>
  <si>
    <t>pipe wrench</t>
  </si>
  <si>
    <t>pool ball</t>
  </si>
  <si>
    <t>pram</t>
  </si>
  <si>
    <t>punch machine</t>
  </si>
  <si>
    <t>radio</t>
  </si>
  <si>
    <t>remote</t>
  </si>
  <si>
    <t>root</t>
  </si>
  <si>
    <t>ruler</t>
  </si>
  <si>
    <t>salt</t>
  </si>
  <si>
    <t>santa’s sleigh</t>
  </si>
  <si>
    <t>saxophone</t>
  </si>
  <si>
    <t>scissors</t>
  </si>
  <si>
    <t>seagull</t>
  </si>
  <si>
    <t>seahorse</t>
  </si>
  <si>
    <t>semi automatic handgun</t>
  </si>
  <si>
    <t>shopping cart</t>
  </si>
  <si>
    <t>siren</t>
  </si>
  <si>
    <t>smoke</t>
  </si>
  <si>
    <t>snorkel</t>
  </si>
  <si>
    <t>sofa</t>
  </si>
  <si>
    <t>space suit</t>
  </si>
  <si>
    <t>squirrel</t>
  </si>
  <si>
    <t>stethoscope</t>
  </si>
  <si>
    <t>table</t>
  </si>
  <si>
    <t>teacup</t>
  </si>
  <si>
    <t>ticket</t>
  </si>
  <si>
    <t>tomato</t>
  </si>
  <si>
    <t>totem</t>
  </si>
  <si>
    <t>tractor</t>
  </si>
  <si>
    <t>trowel</t>
  </si>
  <si>
    <t>trumpet</t>
  </si>
  <si>
    <t>two cherries with a leaf</t>
  </si>
  <si>
    <t>water pump</t>
  </si>
  <si>
    <t>watering can</t>
  </si>
  <si>
    <t>weights</t>
  </si>
  <si>
    <t>wheelbarrow</t>
  </si>
  <si>
    <t>woman dress</t>
  </si>
  <si>
    <t>yin yang</t>
  </si>
  <si>
    <t>arranging</t>
  </si>
  <si>
    <t>balancing</t>
  </si>
  <si>
    <t>blowing on</t>
  </si>
  <si>
    <t>bowing to</t>
  </si>
  <si>
    <t>carrying</t>
  </si>
  <si>
    <t>circling</t>
  </si>
  <si>
    <t>clinging to</t>
  </si>
  <si>
    <t>closing</t>
  </si>
  <si>
    <t>cradling</t>
  </si>
  <si>
    <t>crawling under</t>
  </si>
  <si>
    <t>crying over</t>
  </si>
  <si>
    <t>dodging</t>
  </si>
  <si>
    <t>ducking under</t>
  </si>
  <si>
    <t>elbowing</t>
  </si>
  <si>
    <t>fleeing from</t>
  </si>
  <si>
    <t>flipping</t>
  </si>
  <si>
    <t>following</t>
  </si>
  <si>
    <t>grabbing</t>
  </si>
  <si>
    <t>handing over</t>
  </si>
  <si>
    <t>headbutting</t>
  </si>
  <si>
    <t>hiding behind</t>
  </si>
  <si>
    <t>holding</t>
  </si>
  <si>
    <t>jumping on</t>
  </si>
  <si>
    <t>kicking</t>
  </si>
  <si>
    <t>kneeling on</t>
  </si>
  <si>
    <t>laughing at</t>
  </si>
  <si>
    <t>listening to</t>
  </si>
  <si>
    <t>lowering</t>
  </si>
  <si>
    <t>lying on</t>
  </si>
  <si>
    <t>opening</t>
  </si>
  <si>
    <t>patting</t>
  </si>
  <si>
    <t>peeking over</t>
  </si>
  <si>
    <t>picking up</t>
  </si>
  <si>
    <t>piling</t>
  </si>
  <si>
    <t>pinching</t>
  </si>
  <si>
    <t>pinning down</t>
  </si>
  <si>
    <t>plucking</t>
  </si>
  <si>
    <t>pointing at</t>
  </si>
  <si>
    <t>poking</t>
  </si>
  <si>
    <t>pressing</t>
  </si>
  <si>
    <t>pulling</t>
  </si>
  <si>
    <t>putting down</t>
  </si>
  <si>
    <t>receiving</t>
  </si>
  <si>
    <t>saluting</t>
  </si>
  <si>
    <t>shaking</t>
  </si>
  <si>
    <t>shouting at</t>
  </si>
  <si>
    <t>sitting on</t>
  </si>
  <si>
    <t>spitting on</t>
  </si>
  <si>
    <t>splitting</t>
  </si>
  <si>
    <t>stacking</t>
  </si>
  <si>
    <t>stepping on</t>
  </si>
  <si>
    <t>stretching</t>
  </si>
  <si>
    <t>stroking</t>
  </si>
  <si>
    <t>swallowing</t>
  </si>
  <si>
    <t>tickling</t>
  </si>
  <si>
    <t>tilting</t>
  </si>
  <si>
    <t>tipping</t>
  </si>
  <si>
    <t>turning over</t>
  </si>
  <si>
    <t>unfolding</t>
  </si>
  <si>
    <t>walking around</t>
  </si>
  <si>
    <t>whispering to</t>
  </si>
  <si>
    <t>worshipping</t>
  </si>
  <si>
    <t>Coding</t>
  </si>
  <si>
    <t>Literal</t>
  </si>
  <si>
    <t>Value</t>
  </si>
  <si>
    <t>Animals</t>
  </si>
  <si>
    <t>Containers</t>
  </si>
  <si>
    <t>Flat</t>
  </si>
  <si>
    <t>Anatomical</t>
  </si>
  <si>
    <t>Botanical</t>
  </si>
  <si>
    <t>Elastic</t>
  </si>
  <si>
    <t>Amorfic</t>
  </si>
  <si>
    <t>Elongated</t>
  </si>
  <si>
    <t>Rotation</t>
  </si>
  <si>
    <t>Hitting</t>
  </si>
  <si>
    <t>Deformation</t>
  </si>
  <si>
    <t>Mouth</t>
  </si>
  <si>
    <t>Posture</t>
  </si>
  <si>
    <t>Perception</t>
  </si>
  <si>
    <t>Precision</t>
  </si>
  <si>
    <t>Irregular</t>
  </si>
  <si>
    <t>Stage</t>
  </si>
  <si>
    <t>Atelier</t>
  </si>
  <si>
    <t>Ancient World</t>
  </si>
  <si>
    <t>Nature</t>
  </si>
  <si>
    <t>Other World</t>
  </si>
  <si>
    <t>City</t>
  </si>
  <si>
    <t>Factory</t>
  </si>
  <si>
    <t>Arena</t>
  </si>
  <si>
    <t>Village</t>
  </si>
  <si>
    <t>Object class</t>
  </si>
  <si>
    <t>Action class</t>
  </si>
  <si>
    <t>P+O</t>
  </si>
  <si>
    <t>P+A</t>
  </si>
  <si>
    <t>X+Y</t>
  </si>
  <si>
    <t>Y+Z</t>
  </si>
  <si>
    <t>X+Y+Z</t>
  </si>
  <si>
    <t>Round</t>
  </si>
  <si>
    <t>Manual</t>
  </si>
  <si>
    <t>crawling with object in his teeth</t>
  </si>
  <si>
    <t>motocycle</t>
  </si>
  <si>
    <t>Vehicles</t>
  </si>
  <si>
    <t>martini glass</t>
  </si>
  <si>
    <t>Large</t>
  </si>
  <si>
    <t>Rectangular</t>
  </si>
  <si>
    <t>Cylindrical</t>
  </si>
  <si>
    <t>Self</t>
  </si>
  <si>
    <t>Alfredo Linguini</t>
  </si>
  <si>
    <t>Christopher Nolan</t>
  </si>
  <si>
    <t>Ennio Morricone</t>
  </si>
  <si>
    <t>Enya</t>
  </si>
  <si>
    <t>George Martin</t>
  </si>
  <si>
    <t>Atena</t>
  </si>
  <si>
    <t>Tryton</t>
  </si>
  <si>
    <t>Afrodyta</t>
  </si>
  <si>
    <t>Jason</t>
  </si>
  <si>
    <t>Max Planck</t>
  </si>
  <si>
    <t>Artur Connan Doyle</t>
  </si>
  <si>
    <t>Tomas More</t>
  </si>
  <si>
    <t>John Dunlop</t>
  </si>
  <si>
    <t>Grace Harper</t>
  </si>
  <si>
    <t>Drian Kerninghan</t>
  </si>
  <si>
    <t>Anunaki</t>
  </si>
  <si>
    <t>C3Po</t>
  </si>
  <si>
    <t>Avicii</t>
  </si>
  <si>
    <t>Gregory House</t>
  </si>
  <si>
    <t>Elisabeth II</t>
  </si>
  <si>
    <t>Mc Phee</t>
  </si>
  <si>
    <t>Hermone</t>
  </si>
  <si>
    <t>Emma Watson</t>
  </si>
  <si>
    <t>Gabriel Iglessias</t>
  </si>
  <si>
    <t>Fluffy</t>
  </si>
  <si>
    <t>Hugh Laurie</t>
  </si>
  <si>
    <t>Joanna d'Arc</t>
  </si>
  <si>
    <t>Carol Darwin</t>
  </si>
  <si>
    <t>Catherine the Great</t>
  </si>
  <si>
    <t>Christopher Columbus</t>
  </si>
  <si>
    <t>Liv Taylor</t>
  </si>
  <si>
    <t>Tim Burton</t>
  </si>
  <si>
    <t>Jean Luc Picard</t>
  </si>
  <si>
    <t>Pierce Brosnan</t>
  </si>
  <si>
    <t xml:space="preserve">Daniel Craig </t>
  </si>
  <si>
    <t>Sean Connery</t>
  </si>
  <si>
    <t>Christiaan Barnard</t>
  </si>
  <si>
    <t>Indoor</t>
  </si>
  <si>
    <t>Outdoor</t>
  </si>
  <si>
    <t>Any</t>
  </si>
  <si>
    <t>Graphic World</t>
  </si>
  <si>
    <t>Nikolai Rimsky-Korsakov</t>
  </si>
  <si>
    <t>Tony Hawk</t>
  </si>
  <si>
    <t>skateboard</t>
  </si>
  <si>
    <t>Dobby</t>
  </si>
  <si>
    <t>sock</t>
  </si>
  <si>
    <t>scottish notebook</t>
  </si>
  <si>
    <t>Gilgamesh</t>
  </si>
  <si>
    <t>wrestling</t>
  </si>
  <si>
    <t>Michelangelo Buonarroti</t>
  </si>
  <si>
    <t>with camera</t>
  </si>
  <si>
    <t>with razor</t>
  </si>
  <si>
    <t>cutting</t>
  </si>
  <si>
    <t>with baton</t>
  </si>
  <si>
    <t>with divider</t>
  </si>
  <si>
    <t>with chisel</t>
  </si>
  <si>
    <t>with pen</t>
  </si>
  <si>
    <t>with bow</t>
  </si>
  <si>
    <t>shooting</t>
  </si>
  <si>
    <t>with trident</t>
  </si>
  <si>
    <t>stabbing</t>
  </si>
  <si>
    <t>with dispenser</t>
  </si>
  <si>
    <t>with stetoscope</t>
  </si>
  <si>
    <t>pulling out</t>
  </si>
  <si>
    <t>of a box</t>
  </si>
  <si>
    <t>auscultating</t>
  </si>
  <si>
    <t>as a hologram</t>
  </si>
  <si>
    <t>projecting</t>
  </si>
  <si>
    <t>the fuse</t>
  </si>
  <si>
    <t>lighting</t>
  </si>
  <si>
    <t>with quill</t>
  </si>
  <si>
    <t>signing</t>
  </si>
  <si>
    <t>with wrench</t>
  </si>
  <si>
    <t>repairing</t>
  </si>
  <si>
    <t>smoking</t>
  </si>
  <si>
    <t>with holder</t>
  </si>
  <si>
    <t xml:space="preserve">examining </t>
  </si>
  <si>
    <t>with geologist's hammer</t>
  </si>
  <si>
    <t>with whiplash</t>
  </si>
  <si>
    <t>with bandage</t>
  </si>
  <si>
    <t>with tennis rocket</t>
  </si>
  <si>
    <t>with pump</t>
  </si>
  <si>
    <t>with magnifying glass</t>
  </si>
  <si>
    <t>with soldering iron</t>
  </si>
  <si>
    <t>with iron</t>
  </si>
  <si>
    <t>with shotgun</t>
  </si>
  <si>
    <t>on necklace</t>
  </si>
  <si>
    <t>wearing</t>
  </si>
  <si>
    <t>with needle</t>
  </si>
  <si>
    <t>with paddle</t>
  </si>
  <si>
    <t>clock</t>
  </si>
  <si>
    <t>thinkng</t>
  </si>
  <si>
    <t>idol</t>
  </si>
  <si>
    <t>watering</t>
  </si>
  <si>
    <t>with watering can</t>
  </si>
  <si>
    <t>winding up</t>
  </si>
  <si>
    <t>tucking under the arm</t>
  </si>
  <si>
    <t>spinning on fingertip</t>
  </si>
  <si>
    <t>Action instrument</t>
  </si>
  <si>
    <t>rescue buoy</t>
  </si>
  <si>
    <t>running with object in hand</t>
  </si>
  <si>
    <t>hantel</t>
  </si>
  <si>
    <t>podnoszenie</t>
  </si>
  <si>
    <t>boja ratownicza</t>
  </si>
  <si>
    <t>diament</t>
  </si>
  <si>
    <t>posyłanie pocałunku</t>
  </si>
  <si>
    <t>rewolwer</t>
  </si>
  <si>
    <t>wyciąganie</t>
  </si>
  <si>
    <t>klawisze fortepianu</t>
  </si>
  <si>
    <t>stukanie</t>
  </si>
  <si>
    <t>wąż strażacki</t>
  </si>
  <si>
    <t>zwijanie</t>
  </si>
  <si>
    <t>ławka</t>
  </si>
  <si>
    <t>siedzenie</t>
  </si>
  <si>
    <t>wilk</t>
  </si>
  <si>
    <t>głaskanie</t>
  </si>
  <si>
    <t>prześcieradło</t>
  </si>
  <si>
    <t>zakrywanie się</t>
  </si>
  <si>
    <t>deska</t>
  </si>
  <si>
    <t>kopanie karate</t>
  </si>
  <si>
    <t>czaszka</t>
  </si>
  <si>
    <t>mówienie do</t>
  </si>
  <si>
    <t>kaktus saguaro</t>
  </si>
  <si>
    <t>fotografowanie</t>
  </si>
  <si>
    <t>aparatem fotograficznym</t>
  </si>
  <si>
    <t>lilia wodna</t>
  </si>
  <si>
    <t>malowanie</t>
  </si>
  <si>
    <t>słonecznik</t>
  </si>
  <si>
    <t>cięcie</t>
  </si>
  <si>
    <t>brzytwą</t>
  </si>
  <si>
    <t>trzmiel</t>
  </si>
  <si>
    <t>dyrygowanie</t>
  </si>
  <si>
    <t>batutą</t>
  </si>
  <si>
    <t>Człowiek witruwiański</t>
  </si>
  <si>
    <t>mierzenie</t>
  </si>
  <si>
    <t>cyrklem</t>
  </si>
  <si>
    <t>kruk</t>
  </si>
  <si>
    <t>kadrowanie</t>
  </si>
  <si>
    <t>królik</t>
  </si>
  <si>
    <t>gonienie</t>
  </si>
  <si>
    <t>rzeźba</t>
  </si>
  <si>
    <t>rzeźbienie dłutem</t>
  </si>
  <si>
    <t>dłutem</t>
  </si>
  <si>
    <t>komiks</t>
  </si>
  <si>
    <t>rysowanie tuszem</t>
  </si>
  <si>
    <t>piórem</t>
  </si>
  <si>
    <t>głaz</t>
  </si>
  <si>
    <t>pchanie</t>
  </si>
  <si>
    <t>winogrona</t>
  </si>
  <si>
    <t>deptanie</t>
  </si>
  <si>
    <t>lustro</t>
  </si>
  <si>
    <t>policzkowanie</t>
  </si>
  <si>
    <t>lew</t>
  </si>
  <si>
    <t>zapasowanie się</t>
  </si>
  <si>
    <t>strzała</t>
  </si>
  <si>
    <t>strzelanie</t>
  </si>
  <si>
    <t>z łuku</t>
  </si>
  <si>
    <t>muszla</t>
  </si>
  <si>
    <t>żonglowanie</t>
  </si>
  <si>
    <t>maczuga</t>
  </si>
  <si>
    <t>opieranie się na</t>
  </si>
  <si>
    <t>słońce</t>
  </si>
  <si>
    <t>sięganie po</t>
  </si>
  <si>
    <t>ryba</t>
  </si>
  <si>
    <t>dźganie</t>
  </si>
  <si>
    <t>trójzębem</t>
  </si>
  <si>
    <t>Święty Graal</t>
  </si>
  <si>
    <t>klęczenie przed</t>
  </si>
  <si>
    <t>cebula</t>
  </si>
  <si>
    <t>obieranie</t>
  </si>
  <si>
    <t>magiczna lampa</t>
  </si>
  <si>
    <t>pocieranie</t>
  </si>
  <si>
    <t>chmura</t>
  </si>
  <si>
    <t>odbijanie się od</t>
  </si>
  <si>
    <t>stek</t>
  </si>
  <si>
    <t>przyprawianie</t>
  </si>
  <si>
    <t>dozownikiem</t>
  </si>
  <si>
    <t>dmuchawiec</t>
  </si>
  <si>
    <t>dmuchanie</t>
  </si>
  <si>
    <t>kłoda</t>
  </si>
  <si>
    <t>dziobanie</t>
  </si>
  <si>
    <t>smok</t>
  </si>
  <si>
    <t>karmienie</t>
  </si>
  <si>
    <t>granie</t>
  </si>
  <si>
    <t>moneta</t>
  </si>
  <si>
    <t>podlewanie</t>
  </si>
  <si>
    <t>konewką</t>
  </si>
  <si>
    <t>ser</t>
  </si>
  <si>
    <t>gryzienie</t>
  </si>
  <si>
    <t>kot</t>
  </si>
  <si>
    <t>z pudełka</t>
  </si>
  <si>
    <t>niemowlę</t>
  </si>
  <si>
    <t>osłuchiwanie</t>
  </si>
  <si>
    <t>stetoskopem</t>
  </si>
  <si>
    <t>jabłko</t>
  </si>
  <si>
    <t>upuszczanie</t>
  </si>
  <si>
    <t>zegar</t>
  </si>
  <si>
    <t>myślenie</t>
  </si>
  <si>
    <t>zdjęcie rentgenowskie dłoni</t>
  </si>
  <si>
    <t>podświetlanie</t>
  </si>
  <si>
    <t>model DNA</t>
  </si>
  <si>
    <t>skręcanie</t>
  </si>
  <si>
    <t>tratwa</t>
  </si>
  <si>
    <t>wiosłowanie</t>
  </si>
  <si>
    <t>wiosłem</t>
  </si>
  <si>
    <t>globus</t>
  </si>
  <si>
    <t>kręcenie na czubku palca</t>
  </si>
  <si>
    <t>serce</t>
  </si>
  <si>
    <t>zszywanie</t>
  </si>
  <si>
    <t>igłą</t>
  </si>
  <si>
    <t>paproć</t>
  </si>
  <si>
    <t>sortowanie</t>
  </si>
  <si>
    <t>palantír</t>
  </si>
  <si>
    <t>wpatrywanie się w</t>
  </si>
  <si>
    <t>skarpetka</t>
  </si>
  <si>
    <t>przytulanie</t>
  </si>
  <si>
    <t>pocisk</t>
  </si>
  <si>
    <t>zatrzymywanie dłonią</t>
  </si>
  <si>
    <t>pierścień</t>
  </si>
  <si>
    <t>noszenie</t>
  </si>
  <si>
    <t>na naszyjniku</t>
  </si>
  <si>
    <t>niedokończona Gwiazda Śmierci</t>
  </si>
  <si>
    <t>wyświetlanie</t>
  </si>
  <si>
    <t>jako hologram</t>
  </si>
  <si>
    <t>mózg</t>
  </si>
  <si>
    <t>lizanie</t>
  </si>
  <si>
    <t>cegły</t>
  </si>
  <si>
    <t>rozbijanie</t>
  </si>
  <si>
    <t>sejf</t>
  </si>
  <si>
    <t>drapanie</t>
  </si>
  <si>
    <t>rzucanie</t>
  </si>
  <si>
    <t>miecz świetlny</t>
  </si>
  <si>
    <t>podnoszenie Mocą</t>
  </si>
  <si>
    <t>fiolka z trucizną</t>
  </si>
  <si>
    <t>picie</t>
  </si>
  <si>
    <t>torebka</t>
  </si>
  <si>
    <t>wymachiwanie</t>
  </si>
  <si>
    <t>łańcuchy</t>
  </si>
  <si>
    <t>ciągnięcie</t>
  </si>
  <si>
    <t>beczka prochu</t>
  </si>
  <si>
    <t>podpalanie</t>
  </si>
  <si>
    <t>lontu</t>
  </si>
  <si>
    <t>niedźwiedź</t>
  </si>
  <si>
    <t>polowanie</t>
  </si>
  <si>
    <t>strzelbą</t>
  </si>
  <si>
    <t>zwój Konstytucji USA</t>
  </si>
  <si>
    <t>podpisywanie</t>
  </si>
  <si>
    <t>gęsim piórem</t>
  </si>
  <si>
    <t>mikrofon</t>
  </si>
  <si>
    <t>krzyczenie do</t>
  </si>
  <si>
    <t>kości</t>
  </si>
  <si>
    <t>koń</t>
  </si>
  <si>
    <t>jazda konna</t>
  </si>
  <si>
    <t>miecz</t>
  </si>
  <si>
    <t>branie zamachu</t>
  </si>
  <si>
    <t>dżinsy</t>
  </si>
  <si>
    <t>prasowanie</t>
  </si>
  <si>
    <t>żelazkiem</t>
  </si>
  <si>
    <t>kula iskier</t>
  </si>
  <si>
    <t>ściskanie</t>
  </si>
  <si>
    <t>rakieta</t>
  </si>
  <si>
    <t>wystrzeliwanie</t>
  </si>
  <si>
    <t>żarówka Edisona</t>
  </si>
  <si>
    <t>podłączanie</t>
  </si>
  <si>
    <t>banknoty</t>
  </si>
  <si>
    <t>liczenie</t>
  </si>
  <si>
    <t>układ scalony DIP</t>
  </si>
  <si>
    <t>lutowanie</t>
  </si>
  <si>
    <t>lutownicą</t>
  </si>
  <si>
    <t>motocykl</t>
  </si>
  <si>
    <t>naprawianie</t>
  </si>
  <si>
    <t>kluczem nastawnym</t>
  </si>
  <si>
    <t>talerz</t>
  </si>
  <si>
    <t>mycie</t>
  </si>
  <si>
    <t>Księga Szkocka</t>
  </si>
  <si>
    <t>wkładanie pod pachę</t>
  </si>
  <si>
    <t>prezentowanie</t>
  </si>
  <si>
    <t>czerwony bolid F1</t>
  </si>
  <si>
    <t>prowadzenie</t>
  </si>
  <si>
    <t>worek treningowy</t>
  </si>
  <si>
    <t>uderzanie pięścią</t>
  </si>
  <si>
    <t>piłka nożna</t>
  </si>
  <si>
    <t>pompowanie</t>
  </si>
  <si>
    <t>pompką</t>
  </si>
  <si>
    <t>krążek hokejowy</t>
  </si>
  <si>
    <t>przesuwanie</t>
  </si>
  <si>
    <t>kijem hokejowym</t>
  </si>
  <si>
    <t>pałeczka sztafetowa</t>
  </si>
  <si>
    <t>przekazywanie</t>
  </si>
  <si>
    <t>piłka tenisowa</t>
  </si>
  <si>
    <t>serwowanie</t>
  </si>
  <si>
    <t>rakietą tenisową</t>
  </si>
  <si>
    <t>deskorolka</t>
  </si>
  <si>
    <t>wyginanie</t>
  </si>
  <si>
    <t>równoważnia</t>
  </si>
  <si>
    <t>stanie na rękach na</t>
  </si>
  <si>
    <t>pęk złotych medali</t>
  </si>
  <si>
    <t>chlapanie wodą na</t>
  </si>
  <si>
    <t>przeskakiwanie nad</t>
  </si>
  <si>
    <t>butelka rumu</t>
  </si>
  <si>
    <t>całowanie</t>
  </si>
  <si>
    <t>kaczka</t>
  </si>
  <si>
    <t>bandażowanie</t>
  </si>
  <si>
    <t>bandażem</t>
  </si>
  <si>
    <t>kula armatnia</t>
  </si>
  <si>
    <t>latanie na</t>
  </si>
  <si>
    <t>papieros</t>
  </si>
  <si>
    <t>palenie</t>
  </si>
  <si>
    <t>z cygarniczką</t>
  </si>
  <si>
    <t>nóż survivalowy</t>
  </si>
  <si>
    <t>niebieskie kryształy</t>
  </si>
  <si>
    <t>gotowanie</t>
  </si>
  <si>
    <t>odcisk stopy</t>
  </si>
  <si>
    <t>badanie</t>
  </si>
  <si>
    <t>przez lupę</t>
  </si>
  <si>
    <t>odkopywanie</t>
  </si>
  <si>
    <t>młotkiem geologicznym</t>
  </si>
  <si>
    <t>kieliszek martini</t>
  </si>
  <si>
    <t>potrząsanie ręką</t>
  </si>
  <si>
    <t>wąż</t>
  </si>
  <si>
    <t>smaganie</t>
  </si>
  <si>
    <t>biczem</t>
  </si>
  <si>
    <t>C:\Downloads\Project_PAO\pictures\</t>
  </si>
  <si>
    <t>Picture</t>
  </si>
  <si>
    <t>Pictures</t>
  </si>
  <si>
    <t>biegnie z przedmiotem w ręce</t>
  </si>
  <si>
    <t>czołganie się z przedmiotem w zębach</t>
  </si>
  <si>
    <t>ID</t>
  </si>
  <si>
    <t>OBJ ID</t>
  </si>
  <si>
    <t>Key</t>
  </si>
  <si>
    <t>Sort</t>
  </si>
  <si>
    <t>Formula 2007</t>
  </si>
  <si>
    <t>Formula 2021</t>
  </si>
  <si>
    <t>CFG-01</t>
  </si>
  <si>
    <t>rng\Objects</t>
  </si>
  <si>
    <t>OBJ-001</t>
  </si>
  <si>
    <t>rng\Actions</t>
  </si>
  <si>
    <t>rng\Persons</t>
  </si>
  <si>
    <t>OBJ-002</t>
  </si>
  <si>
    <t>OBJ-003</t>
  </si>
  <si>
    <t>rng\Locations</t>
  </si>
  <si>
    <t>rng\Derivation</t>
  </si>
  <si>
    <t>rng\Locations.Type</t>
  </si>
  <si>
    <t>var\Pictures</t>
  </si>
  <si>
    <t>OBJ-004</t>
  </si>
  <si>
    <t>OBJ-005</t>
  </si>
  <si>
    <t>OBJ-006</t>
  </si>
  <si>
    <t>OBJ-007</t>
  </si>
  <si>
    <t>CFG-02</t>
  </si>
  <si>
    <t>CFG-03</t>
  </si>
  <si>
    <t>CFG-04</t>
  </si>
  <si>
    <t>CFG-05</t>
  </si>
  <si>
    <t>CFG-06</t>
  </si>
  <si>
    <t>CFG-07</t>
  </si>
  <si>
    <t>CFG-08</t>
  </si>
  <si>
    <t>CFG-09</t>
  </si>
  <si>
    <t>CFG-10</t>
  </si>
  <si>
    <t>CFG-11</t>
  </si>
  <si>
    <t>CFG-12</t>
  </si>
  <si>
    <t>CFG-13</t>
  </si>
  <si>
    <t>CFG-14</t>
  </si>
  <si>
    <t>CFG-15</t>
  </si>
  <si>
    <t>CFG-16</t>
  </si>
  <si>
    <t>CFG-17</t>
  </si>
  <si>
    <t>CFG-18</t>
  </si>
  <si>
    <t>CFG-19</t>
  </si>
  <si>
    <t>CFG-20</t>
  </si>
  <si>
    <t>CFG-21</t>
  </si>
  <si>
    <t>CFG-22</t>
  </si>
  <si>
    <t>CFG-23</t>
  </si>
  <si>
    <t>CFG-24</t>
  </si>
  <si>
    <t>CFG-25</t>
  </si>
  <si>
    <t>CFG-26</t>
  </si>
  <si>
    <t>CFG-27</t>
  </si>
  <si>
    <t>CFG-28</t>
  </si>
  <si>
    <t>CFG-29</t>
  </si>
  <si>
    <t>CFG-30</t>
  </si>
  <si>
    <t>CFG-31</t>
  </si>
  <si>
    <t>CFG-32</t>
  </si>
  <si>
    <t>CFG-33</t>
  </si>
  <si>
    <t>CFG-34</t>
  </si>
  <si>
    <t>CFG-35</t>
  </si>
  <si>
    <t>CFG-36</t>
  </si>
  <si>
    <t>CFG-37</t>
  </si>
  <si>
    <t>CFG-38</t>
  </si>
  <si>
    <t>CFG-39</t>
  </si>
  <si>
    <t>CFG-40</t>
  </si>
  <si>
    <t>CFG-41</t>
  </si>
  <si>
    <t>CFG-42</t>
  </si>
  <si>
    <t>CFG-43</t>
  </si>
  <si>
    <t>CFG-44</t>
  </si>
  <si>
    <t>CFG-45</t>
  </si>
  <si>
    <t>CFG-46</t>
  </si>
  <si>
    <t>CFG-47</t>
  </si>
  <si>
    <t>CFG-48</t>
  </si>
  <si>
    <t>CFG-49</t>
  </si>
  <si>
    <t>CFG-50</t>
  </si>
  <si>
    <t>CFG-51</t>
  </si>
  <si>
    <t>CFG-52</t>
  </si>
  <si>
    <t>CFG-53</t>
  </si>
  <si>
    <t>CFG-54</t>
  </si>
  <si>
    <t>CFG-55</t>
  </si>
  <si>
    <t>CFG-56</t>
  </si>
  <si>
    <t>CFG-57</t>
  </si>
  <si>
    <t>CFG-58</t>
  </si>
  <si>
    <t>CFG-59</t>
  </si>
  <si>
    <t>Description</t>
  </si>
  <si>
    <t>Instrument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</si>
</sst>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1"/>
      <color rgb="FF222222"/>
      <name val="Calibri"/>
      <family val="2"/>
      <charset val="238"/>
      <scheme val="minor"/>
    </font>
    <font>
      <sz val="11"/>
      <color rgb="FF222222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theme="1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8"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5" fillId="0" borderId="0" xfId="0" applyFont="1"/>
    <xf numFmtId="0" fontId="9" fillId="0" borderId="0" xfId="0" applyFont="1" applyAlignment="1">
      <alignment vertical="center" wrapText="1"/>
    </xf>
    <xf numFmtId="0" fontId="9" fillId="0" borderId="0" xfId="0" applyFont="1"/>
    <xf numFmtId="0" fontId="1" fillId="0" borderId="0" xfId="0" applyFont="1"/>
    <xf numFmtId="0" fontId="8" fillId="0" borderId="0" xfId="0" applyFont="1" applyAlignment="1">
      <alignment horizontal="center" vertical="center" wrapText="1"/>
    </xf>
    <xf numFmtId="0" fontId="9" fillId="0" borderId="0" xfId="0" quotePrefix="1" applyFont="1" applyAlignment="1">
      <alignment horizontal="right" vertical="center" wrapText="1"/>
    </xf>
    <xf numFmtId="0" fontId="9" fillId="0" borderId="0" xfId="0" applyFont="1" applyAlignment="1">
      <alignment horizontal="right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/>
    <xf numFmtId="0" fontId="10" fillId="0" borderId="0" xfId="0" quotePrefix="1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7" fillId="0" borderId="0" xfId="0" applyFont="1"/>
    <xf numFmtId="0" fontId="11" fillId="0" borderId="0" xfId="0" applyFont="1" applyAlignment="1">
      <alignment horizontal="center" vertical="center" wrapText="1"/>
    </xf>
    <xf numFmtId="10" fontId="10" fillId="0" borderId="0" xfId="0" applyNumberFormat="1" applyFont="1" applyAlignment="1">
      <alignment vertical="center" wrapText="1"/>
    </xf>
    <xf numFmtId="10" fontId="10" fillId="0" borderId="0" xfId="0" applyNumberFormat="1" applyFont="1" applyAlignment="1">
      <alignment horizontal="right" vertical="center" wrapText="1"/>
    </xf>
    <xf numFmtId="0" fontId="12" fillId="0" borderId="0" xfId="0" applyFont="1" applyAlignment="1">
      <alignment horizontal="center" vertical="center" wrapText="1"/>
    </xf>
    <xf numFmtId="10" fontId="13" fillId="0" borderId="0" xfId="0" applyNumberFormat="1" applyFont="1" applyAlignment="1">
      <alignment vertical="center" wrapText="1"/>
    </xf>
    <xf numFmtId="10" fontId="13" fillId="0" borderId="0" xfId="1" applyNumberFormat="1" applyFont="1" applyFill="1" applyBorder="1" applyAlignment="1">
      <alignment vertical="center" wrapText="1"/>
    </xf>
    <xf numFmtId="10" fontId="13" fillId="0" borderId="0" xfId="0" applyNumberFormat="1" applyFont="1" applyAlignment="1">
      <alignment horizontal="right" vertical="center" wrapText="1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6" fillId="5" borderId="0" xfId="0" applyFont="1" applyFill="1"/>
    <xf numFmtId="0" fontId="9" fillId="6" borderId="0" xfId="0" applyFont="1" applyFill="1"/>
    <xf numFmtId="0" fontId="9" fillId="7" borderId="0" xfId="0" applyFont="1" applyFill="1"/>
    <xf numFmtId="0" fontId="0" fillId="0" borderId="0" xfId="0" applyAlignment="1">
      <alignment horizontal="left"/>
    </xf>
    <xf numFmtId="0" fontId="10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0" fillId="0" borderId="0" xfId="0" applyFill="1"/>
    <xf numFmtId="0" fontId="14" fillId="8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Alignment="1">
      <alignment horizontal="center"/>
    </xf>
    <xf numFmtId="0" fontId="14" fillId="8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9" fillId="3" borderId="0" xfId="0" applyFont="1" applyFill="1" applyAlignment="1">
      <alignment horizontal="center" vertical="center" textRotation="90"/>
    </xf>
  </cellXfs>
  <cellStyles count="2">
    <cellStyle name="Normal" xfId="0" builtinId="0"/>
    <cellStyle name="Percent" xfId="1" builtinId="5"/>
  </cellStyles>
  <dxfs count="71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border outline="0">
        <top style="thin">
          <color indexed="64"/>
        </top>
      </border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numFmt numFmtId="0" formatCode="General"/>
      <alignment horizontal="general" vertical="center" textRotation="0" wrapText="1" indent="0" justifyLastLine="0" shrinkToFit="0" readingOrder="0"/>
    </dxf>
    <dxf>
      <alignment horizontal="center" textRotation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3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54A45F-6C12-4C75-B329-32FCB20A781D}" name="tab\PAO.pl" displayName="tab\PAO.pl" ref="A5:Q105" totalsRowShown="0" headerRowDxfId="1" dataDxfId="70">
  <autoFilter ref="A5:Q105" xr:uid="{E920E1F7-C32A-4986-9FDE-97ECF0211D74}"/>
  <tableColumns count="17">
    <tableColumn id="1" xr3:uid="{59E73244-071C-40F5-9779-4F19BDDCBF3D}" name="Code" dataDxfId="69"/>
    <tableColumn id="4" xr3:uid="{76791528-D62E-4B60-A02E-5C21CD7840AF}" name="Literal" dataDxfId="68">
      <calculatedColumnFormula array="1">TranslateToLiteral(A6,0)</calculatedColumnFormula>
    </tableColumn>
    <tableColumn id="5" xr3:uid="{A1FCDC87-56F7-42D7-8A0E-35C7FE59BF60}" name="Person" dataDxfId="67"/>
    <tableColumn id="10" xr3:uid="{440CD14E-073C-4B83-BC9B-FFDDA6228B69}" name="Object" dataDxfId="66"/>
    <tableColumn id="12" xr3:uid="{902B2FE9-7D71-4D76-9B8D-F9F08CA34676}" name="Action" dataDxfId="65"/>
    <tableColumn id="3" xr3:uid="{BA0D6399-08DC-4771-8BE1-E1E276971765}" name="Instrument" dataDxfId="64"/>
    <tableColumn id="2" xr3:uid="{6922A293-22A5-40FF-87A4-12A5B9F716FB}" name="Pictures" dataDxfId="63">
      <calculatedColumnFormula>var\Pictures&amp;tab\PAO.pl[[#This Row],[Code]]&amp;".png"</calculatedColumnFormula>
    </tableColumn>
    <tableColumn id="27" xr3:uid="{609A8F7C-1AC4-4CEB-AC51-FCE12A870134}" name="Category" dataDxfId="62"/>
    <tableColumn id="19" xr3:uid="{959ADE41-F68A-44FE-88CD-41BD4C855361}" name="Person derivation" dataDxfId="61"/>
    <tableColumn id="20" xr3:uid="{0AAD4CED-5324-4E3E-8395-6402CCADFFF2}" name="Person identity: Face" dataDxfId="60"/>
    <tableColumn id="21" xr3:uid="{3792434F-6102-49C1-BE55-70B73841B0F7}" name="Person identity: Costume" dataDxfId="59"/>
    <tableColumn id="22" xr3:uid="{6C7810FD-EEB3-41F5-AC7B-42FFB46A07D0}" name="Person identity: Attribute" dataDxfId="58"/>
    <tableColumn id="32" xr3:uid="{1B055FAE-885A-4DFC-AD5F-7ECB4DFBA57D}" name="Object class" dataDxfId="57"/>
    <tableColumn id="23" xr3:uid="{242B27A0-11D8-42CB-8E5A-8A63B6CE3358}" name="Object derivation" dataDxfId="56"/>
    <tableColumn id="33" xr3:uid="{58052823-BEB3-4D13-938A-7E66D5CBDD58}" name="Action class" dataDxfId="55"/>
    <tableColumn id="24" xr3:uid="{A2B2D330-4A61-4F0E-98DC-4CD3F4257B95}" name="Action derivation" dataDxfId="54"/>
    <tableColumn id="26" xr3:uid="{9A0B7283-CB3B-4041-AFFA-63E8F6222379}" name="Action instrument" dataDxfId="5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920E1F7-C32A-4986-9FDE-97ECF0211D74}" name="tab\PAO.en" displayName="tab\PAO.en" ref="A5:Q105" totalsRowShown="0" headerRowDxfId="0" dataDxfId="52">
  <autoFilter ref="A5:Q105" xr:uid="{E920E1F7-C32A-4986-9FDE-97ECF0211D74}"/>
  <tableColumns count="17">
    <tableColumn id="1" xr3:uid="{82080C1F-341F-46C6-8252-FB53A55E835E}" name="Code" dataDxfId="51"/>
    <tableColumn id="4" xr3:uid="{7AFC6D84-38B4-42E5-B99A-54765AC7AEF4}" name="Literal" dataDxfId="50">
      <calculatedColumnFormula array="1">TranslateToLiteral(A6,0)</calculatedColumnFormula>
    </tableColumn>
    <tableColumn id="5" xr3:uid="{15518BB2-5A86-4B69-91A2-9725125E6891}" name="Person" dataDxfId="49"/>
    <tableColumn id="10" xr3:uid="{CF9BFB0F-2B65-4073-94D0-8B53FBB1CC82}" name="Object" dataDxfId="48"/>
    <tableColumn id="12" xr3:uid="{37CE92C7-A584-408C-9117-DA848CE23C80}" name="Action" dataDxfId="47"/>
    <tableColumn id="3" xr3:uid="{C976A115-2B6D-4FB0-A3BD-70A4788FDF80}" name="Instrument" dataDxfId="46"/>
    <tableColumn id="2" xr3:uid="{C3F0E27D-C052-4A48-B165-59D546765645}" name="Picture" dataDxfId="45">
      <calculatedColumnFormula>var\Pictures&amp;tab\PAO.en[[#This Row],[Code]]&amp;".png"</calculatedColumnFormula>
    </tableColumn>
    <tableColumn id="27" xr3:uid="{EBD48F04-98F8-4BC1-ADB0-AF47F71C6FAD}" name="Category" dataDxfId="44"/>
    <tableColumn id="19" xr3:uid="{B5B4124E-ADE3-413F-9FA6-C7A35F747615}" name="Person derivation" dataDxfId="43"/>
    <tableColumn id="20" xr3:uid="{F506A0DE-82D8-4914-8A80-C82DFCDDDEDB}" name="Person identity: Face" dataDxfId="42"/>
    <tableColumn id="21" xr3:uid="{718B3C81-2B54-45B5-9331-0BF6BB773D9F}" name="Person identity: Costume" dataDxfId="41"/>
    <tableColumn id="22" xr3:uid="{0F2E4E62-9674-41F8-B71C-21DD3317E09F}" name="Person identity: Attribute" dataDxfId="40"/>
    <tableColumn id="32" xr3:uid="{5A5F9EFC-0FEF-429B-8FE6-A196914785D7}" name="Object class" dataDxfId="39"/>
    <tableColumn id="23" xr3:uid="{97EF6A90-C3E3-4628-A379-4F887F15BD80}" name="Object derivation" dataDxfId="38"/>
    <tableColumn id="33" xr3:uid="{511EB5CC-E86A-494E-8D8C-10388AA6C634}" name="Action class" dataDxfId="37"/>
    <tableColumn id="24" xr3:uid="{A12E5308-03E3-4486-9DA1-1BF8111C8970}" name="Action derivation" dataDxfId="36"/>
    <tableColumn id="26" xr3:uid="{20F2D0F1-D311-4B37-A7F8-93573C72265A}" name="Action instrument" dataDxfId="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DEEC627-7D8C-442C-BAE6-01717AB9226E}" name="tab\Translations" displayName="tab\Translations" ref="A1:H12" totalsRowShown="0" headerRowDxfId="34">
  <autoFilter ref="A1:H12" xr:uid="{1B45CE60-4139-4A2D-8E0F-05369EAC348D}"/>
  <tableColumns count="8">
    <tableColumn id="1" xr3:uid="{73767D62-1690-4D41-9381-06B2D455AB3F}" name="Digit" dataDxfId="33"/>
    <tableColumn id="3" xr3:uid="{D5A31820-5413-4A83-9171-F06A55290B04}" name="Major (phonetic)" dataDxfId="32"/>
    <tableColumn id="2" xr3:uid="{463C260D-000D-4986-A130-16F193193B9E}" name="Feinaigle's (literal)" dataDxfId="31"/>
    <tableColumn id="4" xr3:uid="{8185399C-6ACB-4246-AD1D-F236E6E68A67}" name="Dominic (literal)" dataDxfId="30"/>
    <tableColumn id="5" xr3:uid="{FBF5B391-FD47-4633-8834-30D32EC5A5C0}" name="Ben-initial" dataDxfId="29"/>
    <tableColumn id="6" xr3:uid="{83A38676-B4FF-47C5-A7CE-35380FAA92EE}" name="Ben-middle" dataDxfId="28"/>
    <tableColumn id="7" xr3:uid="{EE52632D-8255-498B-B1A9-F76034A406AB}" name="Ben-ending" dataDxfId="27"/>
    <tableColumn id="8" xr3:uid="{265F0C07-C699-4B8D-9F7A-DF2281F4AEF3}" name="Major (literal)" dataDxfId="26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86726E3-6F0F-4DC8-A613-197E3C5FF8CA}" name="tab\Frequencies" displayName="tab\Frequencies" ref="A1:C36" totalsRowShown="0" headerRowDxfId="25" dataDxfId="24">
  <autoFilter ref="A1:C36" xr:uid="{8FA21E18-C6FE-4234-B994-470EE2AA693B}"/>
  <sortState xmlns:xlrd2="http://schemas.microsoft.com/office/spreadsheetml/2017/richdata2" ref="A2:C36">
    <sortCondition ref="A1:A36"/>
  </sortState>
  <tableColumns count="3">
    <tableColumn id="1" xr3:uid="{F507ADD3-4AD2-4B71-A4D7-502BD37074E6}" name="Letter" dataDxfId="23"/>
    <tableColumn id="2" xr3:uid="{54811E6E-6B23-47D8-A9FA-278771115350}" name="PL-Freq" dataDxfId="22"/>
    <tableColumn id="3" xr3:uid="{7F904D65-DE78-401C-A8CE-7117683664AB}" name="EN-Freq" dataDxfId="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324F235-FC07-41C7-BE21-D6BA5A2005A5}" name="tab\Persons" displayName="tab\Persons" ref="A1:B292" totalsRowShown="0">
  <autoFilter ref="A1:B292" xr:uid="{E324F235-FC07-41C7-BE21-D6BA5A2005A5}"/>
  <sortState xmlns:xlrd2="http://schemas.microsoft.com/office/spreadsheetml/2017/richdata2" ref="A2:B292">
    <sortCondition ref="A1:A292"/>
  </sortState>
  <tableColumns count="2">
    <tableColumn id="1" xr3:uid="{9B214942-E046-4DD7-A1C9-AD5B879C264D}" name="Person"/>
    <tableColumn id="2" xr3:uid="{C987E00C-FA7B-41D2-9CD3-D1F92AD651BF}" name="Coding" dataDxfId="20">
      <calculatedColumnFormula array="1">TranslateFromLiteral(tab\Persons[[#This Row],[Person]])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0EC4426-FCA6-4FB1-B3C1-025891FE0090}" name="tab\Actions" displayName="tab\Actions" ref="A1:B96" totalsRowShown="0" headerRowDxfId="19">
  <autoFilter ref="A1:B96" xr:uid="{50EC4426-FCA6-4FB1-B3C1-025891FE0090}"/>
  <tableColumns count="2">
    <tableColumn id="5" xr3:uid="{F7E09A52-7EC7-494A-A74D-26F6430E9277}" name="Action" dataDxfId="18"/>
    <tableColumn id="6" xr3:uid="{E8FEDB5E-B36E-465C-A16A-ADF0565C7656}" name="Coding" dataDxfId="17">
      <calculatedColumnFormula array="1">TranslateFromLiteral(tab\Actions[[#This Row],[Action]])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8F245B-CCD4-42C5-B394-4D0B2FB26B70}" name="tab\Objects" displayName="tab\Objects" ref="A1:B205" totalsRowShown="0" headerRowDxfId="16">
  <autoFilter ref="A1:B205" xr:uid="{C98F245B-CCD4-42C5-B394-4D0B2FB26B70}"/>
  <sortState xmlns:xlrd2="http://schemas.microsoft.com/office/spreadsheetml/2017/richdata2" ref="A2:A205">
    <sortCondition ref="A1:A205"/>
  </sortState>
  <tableColumns count="2">
    <tableColumn id="1" xr3:uid="{2E7D5CB5-994F-40B1-A905-84E73E68F4E7}" name="Object" dataDxfId="15"/>
    <tableColumn id="2" xr3:uid="{2DEF7AA5-F322-4028-B955-E1E0C223F9A8}" name="Coding" dataDxfId="14">
      <calculatedColumnFormula array="1">TranslateFromLiteral(tab\Objects[[#This Row],[Object]])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1B00C5-8A76-47A3-B2F3-7ED8AA5F70EA}" name="tab\CFG" displayName="tab\CFG" ref="A1:H60" totalsRowShown="0" headerRowDxfId="10" dataDxfId="11" headerRowBorderDxfId="12" tableBorderDxfId="13">
  <autoFilter ref="A1:H60" xr:uid="{261B00C5-8A76-47A3-B2F3-7ED8AA5F70EA}"/>
  <tableColumns count="8">
    <tableColumn id="1" xr3:uid="{4B53A330-CA6E-4320-8839-D3CFE9D62177}" name="ID" dataDxfId="9"/>
    <tableColumn id="2" xr3:uid="{96EA69BA-4CE4-4A18-B178-1A46984F7D36}" name="OBJ ID" dataDxfId="8"/>
    <tableColumn id="3" xr3:uid="{5C5673CB-9B60-406F-B6A7-AEAF9711AA22}" name="Key" dataDxfId="6"/>
    <tableColumn id="4" xr3:uid="{E75AAE47-D58C-4ED3-AD66-908BCE352911}" name="Value" dataDxfId="4"/>
    <tableColumn id="5" xr3:uid="{7B069FC9-CA4B-436A-9D23-CA39BC9A9034}" name="Description" dataDxfId="5"/>
    <tableColumn id="7" xr3:uid="{6CD40DA0-DF95-40AE-9C04-5A68F8F08DE0}" name="Formula 2007" dataDxfId="7">
      <calculatedColumnFormula>"=INDEX(tab\CFG[Value];MATCH(""" &amp;tab\CFG[[#This Row],[Key]]&amp;""";tab\CFG[Key];0)):INDEX(tab\CFG[Value];MATCH("""&amp;tab\CFG[[#This Row],[Key]]&amp;""";tab\CFG[Key];0)+COUNTIF(tab\CFG[Key];"""&amp;tab\CFG[[#This Row],[Key]]&amp;""")-1)"</calculatedColumnFormula>
    </tableColumn>
    <tableColumn id="8" xr3:uid="{54A2343B-165C-4C97-B755-10A7758CAFFC}" name="Formula 2021" dataDxfId="3">
      <calculatedColumnFormula>"=FILTER(tab\CFG[Value];tab\CFG[Key]="""&amp;tab\CFG[[#This Row],[Key]]&amp;""")"</calculatedColumnFormula>
    </tableColumn>
    <tableColumn id="6" xr3:uid="{2C1E338F-0DB0-40C2-929F-C6785D2D4A36}" name="Sort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B3869-5AEB-4D9C-9706-4DB488EAA16B}">
  <sheetPr codeName="Sheet18">
    <tabColor theme="4"/>
  </sheetPr>
  <dimension ref="A1:Q105"/>
  <sheetViews>
    <sheetView tabSelected="1" workbookViewId="0">
      <pane xSplit="4" ySplit="5" topLeftCell="E6" activePane="bottomRight" state="frozen"/>
      <selection pane="topRight" activeCell="G1" sqref="G1"/>
      <selection pane="bottomLeft" activeCell="A6" sqref="A6"/>
      <selection pane="bottomRight" activeCell="Q6" sqref="Q6"/>
    </sheetView>
  </sheetViews>
  <sheetFormatPr defaultColWidth="7.77734375" defaultRowHeight="14.4" customHeight="1" x14ac:dyDescent="0.3"/>
  <cols>
    <col min="1" max="1" width="7.77734375" style="9"/>
    <col min="2" max="2" width="16.88671875" style="9" customWidth="1"/>
    <col min="3" max="3" width="28.44140625" style="9" customWidth="1"/>
    <col min="4" max="4" width="28.5546875" style="9" customWidth="1"/>
    <col min="5" max="5" width="29.109375" style="9" customWidth="1"/>
    <col min="6" max="6" width="25" style="9" customWidth="1"/>
    <col min="7" max="7" width="23.44140625" style="9" customWidth="1"/>
    <col min="8" max="8" width="15.109375" style="26" customWidth="1"/>
    <col min="9" max="9" width="6.21875" style="26" customWidth="1"/>
    <col min="10" max="10" width="5.21875" style="26" customWidth="1"/>
    <col min="11" max="12" width="4.5546875" style="26" customWidth="1"/>
    <col min="13" max="13" width="12" style="26" customWidth="1"/>
    <col min="14" max="14" width="4" style="26" customWidth="1"/>
    <col min="15" max="15" width="14.109375" style="26" customWidth="1"/>
    <col min="16" max="16" width="4" style="3" customWidth="1"/>
    <col min="17" max="17" width="4.109375" style="26" customWidth="1"/>
    <col min="18" max="16384" width="7.77734375" style="9"/>
  </cols>
  <sheetData>
    <row r="1" spans="1:17" ht="14.4" customHeight="1" x14ac:dyDescent="0.3">
      <c r="P1" s="26"/>
    </row>
    <row r="2" spans="1:17" ht="14.4" customHeight="1" x14ac:dyDescent="0.3">
      <c r="B2" s="28" t="s">
        <v>598</v>
      </c>
      <c r="C2" s="29">
        <f>COUNTA(tab\PAO.pl[Person])</f>
        <v>100</v>
      </c>
      <c r="D2" s="29">
        <f>COUNTA(tab\PAO.pl[Object])</f>
        <v>100</v>
      </c>
      <c r="E2" s="29">
        <f>COUNTA(tab\PAO.pl[Action])</f>
        <v>100</v>
      </c>
      <c r="P2" s="26"/>
    </row>
    <row r="3" spans="1:17" ht="14.4" customHeight="1" x14ac:dyDescent="0.3">
      <c r="B3" s="28" t="s">
        <v>599</v>
      </c>
      <c r="C3" s="30">
        <f>COUNTA(_xlfn.UNIQUE(tab\PAO.pl[Person]))-IF(C2&lt;100,1,0)</f>
        <v>100</v>
      </c>
      <c r="D3" s="30">
        <f>COUNTA(_xlfn.UNIQUE(tab\PAO.pl[Object]))-IF(D2&lt;100,1,0)</f>
        <v>100</v>
      </c>
      <c r="E3" s="30">
        <f>COUNTA(_xlfn.UNIQUE(tab\PAO.pl[Action]))-IF(E2&lt;100,1,0)</f>
        <v>98</v>
      </c>
      <c r="P3" s="26"/>
    </row>
    <row r="4" spans="1:17" ht="14.4" customHeight="1" x14ac:dyDescent="0.3">
      <c r="P4" s="26"/>
    </row>
    <row r="5" spans="1:17" s="45" customFormat="1" ht="126.6" customHeight="1" x14ac:dyDescent="0.3">
      <c r="A5" s="11" t="s">
        <v>363</v>
      </c>
      <c r="B5" s="11" t="s">
        <v>798</v>
      </c>
      <c r="C5" s="45" t="s">
        <v>1</v>
      </c>
      <c r="D5" s="46" t="s">
        <v>80</v>
      </c>
      <c r="E5" s="11" t="s">
        <v>115</v>
      </c>
      <c r="F5" s="11" t="s">
        <v>1249</v>
      </c>
      <c r="G5" s="11" t="s">
        <v>1166</v>
      </c>
      <c r="H5" s="47" t="s">
        <v>0</v>
      </c>
      <c r="I5" s="47" t="s">
        <v>500</v>
      </c>
      <c r="J5" s="47" t="s">
        <v>501</v>
      </c>
      <c r="K5" s="47" t="s">
        <v>502</v>
      </c>
      <c r="L5" s="47" t="s">
        <v>503</v>
      </c>
      <c r="M5" s="47" t="s">
        <v>825</v>
      </c>
      <c r="N5" s="47" t="s">
        <v>504</v>
      </c>
      <c r="O5" s="47" t="s">
        <v>826</v>
      </c>
      <c r="P5" s="47" t="s">
        <v>505</v>
      </c>
      <c r="Q5" s="47" t="s">
        <v>940</v>
      </c>
    </row>
    <row r="6" spans="1:17" ht="14.4" customHeight="1" x14ac:dyDescent="0.3">
      <c r="A6" s="12" t="s">
        <v>43</v>
      </c>
      <c r="B6" s="8" t="str" cm="1">
        <f t="array" ref="B6">TranslateToLiteral(A6,0)</f>
        <v>[s,z,o]-[s,z,o]</v>
      </c>
      <c r="C6" s="9" t="s">
        <v>268</v>
      </c>
      <c r="D6" s="14" t="s">
        <v>943</v>
      </c>
      <c r="E6" s="14" t="s">
        <v>944</v>
      </c>
      <c r="F6" s="14"/>
      <c r="G6" s="14" t="str">
        <f>var\Pictures&amp;tab\PAO.pl[[#This Row],[Code]]&amp;".png"</f>
        <v>C:\Downloads\Project_PAO\pictures\00.png</v>
      </c>
      <c r="H6" s="26" t="s">
        <v>361</v>
      </c>
      <c r="I6" s="26" t="s">
        <v>829</v>
      </c>
      <c r="J6" s="26" t="s">
        <v>33</v>
      </c>
      <c r="M6" s="26" t="s">
        <v>832</v>
      </c>
      <c r="N6" s="26" t="s">
        <v>75</v>
      </c>
      <c r="O6" s="26" t="s">
        <v>330</v>
      </c>
      <c r="P6" s="26" t="s">
        <v>74</v>
      </c>
    </row>
    <row r="7" spans="1:17" ht="14.4" customHeight="1" x14ac:dyDescent="0.3">
      <c r="A7" s="12" t="s">
        <v>44</v>
      </c>
      <c r="B7" s="8" t="str" cm="1">
        <f t="array" ref="B7">TranslateToLiteral(A7,0)</f>
        <v>[s,z,o]-[t,d,a]</v>
      </c>
      <c r="C7" s="9" t="s">
        <v>241</v>
      </c>
      <c r="D7" s="14" t="s">
        <v>945</v>
      </c>
      <c r="E7" s="14" t="s">
        <v>1167</v>
      </c>
      <c r="F7" s="14"/>
      <c r="G7" s="14" t="str">
        <f>var\Pictures&amp;tab\PAO.pl[[#This Row],[Code]]&amp;".png"</f>
        <v>C:\Downloads\Project_PAO\pictures\01.png</v>
      </c>
      <c r="H7" s="26" t="s">
        <v>361</v>
      </c>
      <c r="I7" s="26" t="s">
        <v>829</v>
      </c>
      <c r="J7" s="26" t="s">
        <v>33</v>
      </c>
      <c r="M7" s="26" t="s">
        <v>815</v>
      </c>
      <c r="N7" s="26" t="s">
        <v>75</v>
      </c>
      <c r="O7" s="26" t="s">
        <v>812</v>
      </c>
      <c r="P7" s="26" t="s">
        <v>827</v>
      </c>
    </row>
    <row r="8" spans="1:17" ht="14.4" customHeight="1" x14ac:dyDescent="0.3">
      <c r="A8" s="12" t="s">
        <v>52</v>
      </c>
      <c r="B8" s="8" t="str" cm="1">
        <f t="array" ref="B8">TranslateToLiteral(A8,0)</f>
        <v>[s,z,o]-[n,m]</v>
      </c>
      <c r="C8" s="9" t="s">
        <v>386</v>
      </c>
      <c r="D8" s="14" t="s">
        <v>946</v>
      </c>
      <c r="E8" s="14" t="s">
        <v>947</v>
      </c>
      <c r="F8" s="14"/>
      <c r="G8" s="14" t="str">
        <f>var\Pictures&amp;tab\PAO.pl[[#This Row],[Code]]&amp;".png"</f>
        <v>C:\Downloads\Project_PAO\pictures\02.png</v>
      </c>
      <c r="H8" s="26" t="s">
        <v>361</v>
      </c>
      <c r="I8" s="26" t="s">
        <v>829</v>
      </c>
      <c r="J8" s="26" t="s">
        <v>33</v>
      </c>
      <c r="K8" s="26" t="s">
        <v>33</v>
      </c>
      <c r="M8" s="26" t="s">
        <v>839</v>
      </c>
      <c r="N8" s="26" t="s">
        <v>75</v>
      </c>
      <c r="O8" s="26" t="s">
        <v>811</v>
      </c>
      <c r="P8" s="26" t="s">
        <v>827</v>
      </c>
    </row>
    <row r="9" spans="1:17" ht="14.4" customHeight="1" x14ac:dyDescent="0.3">
      <c r="A9" s="12" t="s">
        <v>45</v>
      </c>
      <c r="B9" s="8" t="str" cm="1">
        <f t="array" ref="B9">TranslateToLiteral(A9,0)</f>
        <v>[s,z,o]-[f,g,e]</v>
      </c>
      <c r="C9" s="9" t="s">
        <v>267</v>
      </c>
      <c r="D9" s="15" t="s">
        <v>948</v>
      </c>
      <c r="E9" s="14" t="s">
        <v>949</v>
      </c>
      <c r="F9" s="14"/>
      <c r="G9" s="14" t="str">
        <f>var\Pictures&amp;tab\PAO.pl[[#This Row],[Code]]&amp;".png"</f>
        <v>C:\Downloads\Project_PAO\pictures\03.png</v>
      </c>
      <c r="H9" s="26" t="s">
        <v>361</v>
      </c>
      <c r="I9" s="26" t="s">
        <v>829</v>
      </c>
      <c r="J9" s="26" t="s">
        <v>33</v>
      </c>
      <c r="K9" s="26" t="s">
        <v>33</v>
      </c>
      <c r="M9" s="26" t="s">
        <v>815</v>
      </c>
      <c r="N9" s="26" t="s">
        <v>75</v>
      </c>
      <c r="O9" s="26" t="s">
        <v>330</v>
      </c>
      <c r="P9" s="26" t="s">
        <v>74</v>
      </c>
    </row>
    <row r="10" spans="1:17" s="15" customFormat="1" ht="14.4" customHeight="1" x14ac:dyDescent="0.3">
      <c r="A10" s="16" t="s">
        <v>46</v>
      </c>
      <c r="B10" s="14" t="str" cm="1">
        <f t="array" ref="B10">TranslateToLiteral(A10,0)</f>
        <v>[s,z,o]-[r,q]</v>
      </c>
      <c r="C10" s="15" t="s">
        <v>410</v>
      </c>
      <c r="D10" s="14" t="s">
        <v>950</v>
      </c>
      <c r="E10" s="14" t="s">
        <v>951</v>
      </c>
      <c r="F10" s="14"/>
      <c r="G10" s="14" t="str">
        <f>var\Pictures&amp;tab\PAO.pl[[#This Row],[Code]]&amp;".png"</f>
        <v>C:\Downloads\Project_PAO\pictures\04.png</v>
      </c>
      <c r="H10" s="26" t="s">
        <v>361</v>
      </c>
      <c r="I10" s="26" t="s">
        <v>829</v>
      </c>
      <c r="J10" s="27" t="s">
        <v>33</v>
      </c>
      <c r="K10" s="27"/>
      <c r="L10" s="27"/>
      <c r="M10" s="26" t="s">
        <v>815</v>
      </c>
      <c r="N10" s="26" t="s">
        <v>75</v>
      </c>
      <c r="O10" s="27" t="s">
        <v>809</v>
      </c>
      <c r="P10" s="26" t="s">
        <v>74</v>
      </c>
      <c r="Q10" s="27"/>
    </row>
    <row r="11" spans="1:17" ht="14.4" customHeight="1" x14ac:dyDescent="0.3">
      <c r="A11" s="12" t="s">
        <v>47</v>
      </c>
      <c r="B11" s="8" t="str" cm="1">
        <f t="array" ref="B11">TranslateToLiteral(A11,0)</f>
        <v>[s,z,o]-[v,w,u]</v>
      </c>
      <c r="C11" s="9" t="s">
        <v>334</v>
      </c>
      <c r="D11" s="14" t="s">
        <v>952</v>
      </c>
      <c r="E11" s="14" t="s">
        <v>953</v>
      </c>
      <c r="F11" s="14"/>
      <c r="G11" s="14" t="str">
        <f>var\Pictures&amp;tab\PAO.pl[[#This Row],[Code]]&amp;".png"</f>
        <v>C:\Downloads\Project_PAO\pictures\05.png</v>
      </c>
      <c r="H11" s="26" t="s">
        <v>361</v>
      </c>
      <c r="I11" s="26" t="s">
        <v>829</v>
      </c>
      <c r="J11" s="26" t="s">
        <v>33</v>
      </c>
      <c r="K11" s="26" t="s">
        <v>33</v>
      </c>
      <c r="M11" s="26" t="s">
        <v>805</v>
      </c>
      <c r="N11" s="26" t="s">
        <v>75</v>
      </c>
      <c r="O11" s="26" t="s">
        <v>810</v>
      </c>
      <c r="P11" s="26" t="s">
        <v>74</v>
      </c>
    </row>
    <row r="12" spans="1:17" ht="14.4" customHeight="1" x14ac:dyDescent="0.3">
      <c r="A12" s="12" t="s">
        <v>48</v>
      </c>
      <c r="B12" s="8" t="str" cm="1">
        <f t="array" ref="B12">TranslateToLiteral(A12,0)</f>
        <v>[s,z,o]-[h,x]</v>
      </c>
      <c r="C12" s="9" t="s">
        <v>292</v>
      </c>
      <c r="D12" s="14" t="s">
        <v>954</v>
      </c>
      <c r="E12" s="14" t="s">
        <v>955</v>
      </c>
      <c r="F12" s="14"/>
      <c r="G12" s="14" t="str">
        <f>var\Pictures&amp;tab\PAO.pl[[#This Row],[Code]]&amp;".png"</f>
        <v>C:\Downloads\Project_PAO\pictures\06.png</v>
      </c>
      <c r="H12" s="26" t="s">
        <v>361</v>
      </c>
      <c r="I12" s="26" t="s">
        <v>829</v>
      </c>
      <c r="J12" s="26" t="s">
        <v>33</v>
      </c>
      <c r="L12" s="26" t="s">
        <v>33</v>
      </c>
      <c r="M12" s="26" t="s">
        <v>838</v>
      </c>
      <c r="N12" s="26" t="s">
        <v>75</v>
      </c>
      <c r="O12" s="26" t="s">
        <v>812</v>
      </c>
      <c r="P12" s="26" t="s">
        <v>74</v>
      </c>
    </row>
    <row r="13" spans="1:17" ht="14.4" customHeight="1" x14ac:dyDescent="0.3">
      <c r="A13" s="12" t="s">
        <v>49</v>
      </c>
      <c r="B13" s="8" t="str" cm="1">
        <f t="array" ref="B13">TranslateToLiteral(A13,0)</f>
        <v>[s,z,o]-[c,k,i]</v>
      </c>
      <c r="C13" s="9" t="s">
        <v>413</v>
      </c>
      <c r="D13" s="14" t="s">
        <v>956</v>
      </c>
      <c r="E13" s="14" t="s">
        <v>957</v>
      </c>
      <c r="F13" s="14"/>
      <c r="G13" s="14" t="str">
        <f>var\Pictures&amp;tab\PAO.pl[[#This Row],[Code]]&amp;".png"</f>
        <v>C:\Downloads\Project_PAO\pictures\07.png</v>
      </c>
      <c r="H13" s="26" t="s">
        <v>361</v>
      </c>
      <c r="I13" s="26" t="s">
        <v>829</v>
      </c>
      <c r="J13" s="26" t="s">
        <v>33</v>
      </c>
      <c r="K13" s="26" t="s">
        <v>33</v>
      </c>
      <c r="M13" s="26" t="s">
        <v>800</v>
      </c>
      <c r="N13" s="26" t="s">
        <v>75</v>
      </c>
      <c r="O13" s="26" t="s">
        <v>809</v>
      </c>
      <c r="P13" s="26" t="s">
        <v>827</v>
      </c>
    </row>
    <row r="14" spans="1:17" ht="14.4" customHeight="1" x14ac:dyDescent="0.3">
      <c r="A14" s="12" t="s">
        <v>50</v>
      </c>
      <c r="B14" s="8" t="str" cm="1">
        <f t="array" ref="B14">TranslateToLiteral(A14,0)</f>
        <v>[s,z,o]-[p,b]</v>
      </c>
      <c r="C14" s="9" t="s">
        <v>176</v>
      </c>
      <c r="D14" s="2" t="s">
        <v>958</v>
      </c>
      <c r="E14" s="2" t="s">
        <v>959</v>
      </c>
      <c r="F14" s="2"/>
      <c r="G14" s="2" t="str">
        <f>var\Pictures&amp;tab\PAO.pl[[#This Row],[Code]]&amp;".png"</f>
        <v>C:\Downloads\Project_PAO\pictures\08.png</v>
      </c>
      <c r="H14" s="26" t="s">
        <v>361</v>
      </c>
      <c r="I14" s="26" t="s">
        <v>829</v>
      </c>
      <c r="J14" s="26" t="s">
        <v>33</v>
      </c>
      <c r="M14" s="26" t="s">
        <v>802</v>
      </c>
      <c r="N14" s="26" t="s">
        <v>75</v>
      </c>
      <c r="O14" s="26" t="s">
        <v>841</v>
      </c>
      <c r="P14" s="26" t="s">
        <v>74</v>
      </c>
    </row>
    <row r="15" spans="1:17" ht="14.4" customHeight="1" x14ac:dyDescent="0.3">
      <c r="A15" s="12" t="s">
        <v>51</v>
      </c>
      <c r="B15" s="8" t="str" cm="1">
        <f t="array" ref="B15">TranslateToLiteral(A15,0)</f>
        <v>[s,z,o]-[l,j,y]</v>
      </c>
      <c r="C15" s="9" t="s">
        <v>174</v>
      </c>
      <c r="D15" s="14" t="s">
        <v>960</v>
      </c>
      <c r="E15" s="14" t="s">
        <v>961</v>
      </c>
      <c r="F15" s="14"/>
      <c r="G15" s="14" t="str">
        <f>var\Pictures&amp;tab\PAO.pl[[#This Row],[Code]]&amp;".png"</f>
        <v>C:\Downloads\Project_PAO\pictures\09.png</v>
      </c>
      <c r="H15" s="26" t="s">
        <v>361</v>
      </c>
      <c r="I15" s="26" t="s">
        <v>829</v>
      </c>
      <c r="J15" s="26" t="s">
        <v>33</v>
      </c>
      <c r="K15" s="26" t="s">
        <v>33</v>
      </c>
      <c r="M15" s="26" t="s">
        <v>802</v>
      </c>
      <c r="N15" s="26" t="s">
        <v>75</v>
      </c>
      <c r="O15" s="26" t="s">
        <v>809</v>
      </c>
      <c r="P15" s="26" t="s">
        <v>74</v>
      </c>
    </row>
    <row r="16" spans="1:17" ht="14.4" customHeight="1" x14ac:dyDescent="0.3">
      <c r="A16" s="13">
        <v>10</v>
      </c>
      <c r="B16" s="8" t="str" cm="1">
        <f t="array" ref="B16">TranslateToLiteral(A16,0)</f>
        <v>[t,d,a]-[s,z,o]</v>
      </c>
      <c r="C16" s="9" t="s">
        <v>224</v>
      </c>
      <c r="D16" s="2" t="s">
        <v>962</v>
      </c>
      <c r="E16" s="14" t="s">
        <v>963</v>
      </c>
      <c r="F16" s="14"/>
      <c r="G16" s="14" t="str">
        <f>var\Pictures&amp;tab\PAO.pl[[#This Row],[Code]]&amp;".png"</f>
        <v>C:\Downloads\Project_PAO\pictures\10.png</v>
      </c>
      <c r="H16" s="26" t="s">
        <v>2</v>
      </c>
      <c r="I16" s="26" t="s">
        <v>829</v>
      </c>
      <c r="K16" s="26" t="s">
        <v>33</v>
      </c>
      <c r="L16" s="26" t="s">
        <v>33</v>
      </c>
      <c r="M16" s="26" t="s">
        <v>803</v>
      </c>
      <c r="N16" s="26" t="s">
        <v>75</v>
      </c>
      <c r="O16" s="26" t="s">
        <v>811</v>
      </c>
      <c r="P16" s="26" t="s">
        <v>827</v>
      </c>
    </row>
    <row r="17" spans="1:17" ht="14.4" customHeight="1" x14ac:dyDescent="0.3">
      <c r="A17" s="13">
        <v>11</v>
      </c>
      <c r="B17" s="8" t="str" cm="1">
        <f t="array" ref="B17">TranslateToLiteral(A17,0)</f>
        <v>[t,d,a]-[t,d,a]</v>
      </c>
      <c r="C17" s="9" t="s">
        <v>482</v>
      </c>
      <c r="D17" s="15" t="s">
        <v>964</v>
      </c>
      <c r="E17" s="14" t="s">
        <v>965</v>
      </c>
      <c r="F17" s="14" t="s">
        <v>966</v>
      </c>
      <c r="G17" s="14" t="str">
        <f>var\Pictures&amp;tab\PAO.pl[[#This Row],[Code]]&amp;".png"</f>
        <v>C:\Downloads\Project_PAO\pictures\11.png</v>
      </c>
      <c r="H17" s="26" t="s">
        <v>2</v>
      </c>
      <c r="I17" s="26" t="s">
        <v>829</v>
      </c>
      <c r="J17" s="26" t="s">
        <v>33</v>
      </c>
      <c r="K17" s="26" t="s">
        <v>33</v>
      </c>
      <c r="M17" s="26" t="s">
        <v>804</v>
      </c>
      <c r="N17" s="26" t="s">
        <v>75</v>
      </c>
      <c r="O17" s="26" t="s">
        <v>814</v>
      </c>
      <c r="P17" s="26" t="s">
        <v>827</v>
      </c>
      <c r="Q17" s="26" t="s">
        <v>33</v>
      </c>
    </row>
    <row r="18" spans="1:17" ht="14.4" customHeight="1" x14ac:dyDescent="0.3">
      <c r="A18" s="13">
        <v>12</v>
      </c>
      <c r="B18" s="8" t="str" cm="1">
        <f t="array" ref="B18">TranslateToLiteral(A18,0)</f>
        <v>[t,d,a]-[n,m]</v>
      </c>
      <c r="C18" s="8" t="s">
        <v>506</v>
      </c>
      <c r="D18" s="2" t="s">
        <v>967</v>
      </c>
      <c r="E18" s="14" t="s">
        <v>968</v>
      </c>
      <c r="F18" s="14"/>
      <c r="G18" s="14" t="str">
        <f>var\Pictures&amp;tab\PAO.pl[[#This Row],[Code]]&amp;".png"</f>
        <v>C:\Downloads\Project_PAO\pictures\12.png</v>
      </c>
      <c r="H18" s="26" t="s">
        <v>2</v>
      </c>
      <c r="I18" s="26" t="s">
        <v>829</v>
      </c>
      <c r="L18" s="26" t="s">
        <v>33</v>
      </c>
      <c r="M18" s="26" t="s">
        <v>804</v>
      </c>
      <c r="N18" s="26" t="s">
        <v>75</v>
      </c>
      <c r="O18" s="26" t="s">
        <v>814</v>
      </c>
      <c r="P18" s="26" t="s">
        <v>827</v>
      </c>
    </row>
    <row r="19" spans="1:17" ht="14.4" customHeight="1" x14ac:dyDescent="0.3">
      <c r="A19" s="13">
        <v>13</v>
      </c>
      <c r="B19" s="8" t="str" cm="1">
        <f t="array" ref="B19">TranslateToLiteral(A19,0)</f>
        <v>[t,d,a]-[f,g,e]</v>
      </c>
      <c r="C19" s="9" t="s">
        <v>341</v>
      </c>
      <c r="D19" s="2" t="s">
        <v>969</v>
      </c>
      <c r="E19" s="14" t="s">
        <v>970</v>
      </c>
      <c r="F19" s="14" t="s">
        <v>971</v>
      </c>
      <c r="G19" s="14" t="str">
        <f>var\Pictures&amp;tab\PAO.pl[[#This Row],[Code]]&amp;".png"</f>
        <v>C:\Downloads\Project_PAO\pictures\13.png</v>
      </c>
      <c r="H19" s="26" t="s">
        <v>2</v>
      </c>
      <c r="I19" s="26" t="s">
        <v>829</v>
      </c>
      <c r="K19" s="26" t="s">
        <v>33</v>
      </c>
      <c r="M19" s="26" t="s">
        <v>804</v>
      </c>
      <c r="N19" s="26" t="s">
        <v>75</v>
      </c>
      <c r="O19" s="26" t="s">
        <v>814</v>
      </c>
      <c r="P19" s="26" t="s">
        <v>827</v>
      </c>
      <c r="Q19" s="26" t="s">
        <v>33</v>
      </c>
    </row>
    <row r="20" spans="1:17" ht="14.4" customHeight="1" x14ac:dyDescent="0.3">
      <c r="A20" s="13">
        <v>14</v>
      </c>
      <c r="B20" s="8" t="str" cm="1">
        <f t="array" ref="B20">TranslateToLiteral(A20,0)</f>
        <v>[t,d,a]-[r,q]</v>
      </c>
      <c r="C20" s="9" t="s">
        <v>883</v>
      </c>
      <c r="D20" s="9" t="s">
        <v>972</v>
      </c>
      <c r="E20" s="2" t="s">
        <v>973</v>
      </c>
      <c r="F20" s="2" t="s">
        <v>974</v>
      </c>
      <c r="G20" s="2" t="str">
        <f>var\Pictures&amp;tab\PAO.pl[[#This Row],[Code]]&amp;".png"</f>
        <v>C:\Downloads\Project_PAO\pictures\14.png</v>
      </c>
      <c r="H20" s="26" t="s">
        <v>2</v>
      </c>
      <c r="I20" s="26" t="s">
        <v>829</v>
      </c>
      <c r="M20" s="26" t="s">
        <v>800</v>
      </c>
      <c r="N20" s="26" t="s">
        <v>75</v>
      </c>
      <c r="O20" s="26" t="s">
        <v>814</v>
      </c>
      <c r="P20" s="26" t="s">
        <v>827</v>
      </c>
      <c r="Q20" s="26" t="s">
        <v>33</v>
      </c>
    </row>
    <row r="21" spans="1:17" ht="14.4" customHeight="1" x14ac:dyDescent="0.3">
      <c r="A21" s="13">
        <v>15</v>
      </c>
      <c r="B21" s="8" t="str" cm="1">
        <f t="array" ref="B21">TranslateToLiteral(A21,0)</f>
        <v>[t,d,a]-[v,w,u]</v>
      </c>
      <c r="C21" s="9" t="s">
        <v>155</v>
      </c>
      <c r="D21" s="2" t="s">
        <v>975</v>
      </c>
      <c r="E21" s="8" t="s">
        <v>976</v>
      </c>
      <c r="F21" s="8" t="s">
        <v>977</v>
      </c>
      <c r="G21" s="8" t="str">
        <f>var\Pictures&amp;tab\PAO.pl[[#This Row],[Code]]&amp;".png"</f>
        <v>C:\Downloads\Project_PAO\pictures\15.png</v>
      </c>
      <c r="H21" s="26" t="s">
        <v>2</v>
      </c>
      <c r="I21" s="26" t="s">
        <v>829</v>
      </c>
      <c r="J21" s="26" t="s">
        <v>33</v>
      </c>
      <c r="M21" s="26" t="s">
        <v>803</v>
      </c>
      <c r="N21" s="26" t="s">
        <v>75</v>
      </c>
      <c r="O21" s="26" t="s">
        <v>814</v>
      </c>
      <c r="P21" s="26" t="s">
        <v>827</v>
      </c>
      <c r="Q21" s="26" t="s">
        <v>33</v>
      </c>
    </row>
    <row r="22" spans="1:17" ht="14.4" customHeight="1" x14ac:dyDescent="0.3">
      <c r="A22" s="13">
        <v>16</v>
      </c>
      <c r="B22" s="8" t="str" cm="1">
        <f t="array" ref="B22">TranslateToLiteral(A22,0)</f>
        <v>[t,d,a]-[h,x]</v>
      </c>
      <c r="C22" s="9" t="s">
        <v>425</v>
      </c>
      <c r="D22" s="9" t="s">
        <v>978</v>
      </c>
      <c r="E22" s="8" t="s">
        <v>979</v>
      </c>
      <c r="F22" s="8"/>
      <c r="G22" s="8" t="str">
        <f>var\Pictures&amp;tab\PAO.pl[[#This Row],[Code]]&amp;".png"</f>
        <v>C:\Downloads\Project_PAO\pictures\16.png</v>
      </c>
      <c r="H22" s="26" t="s">
        <v>2</v>
      </c>
      <c r="I22" s="26" t="s">
        <v>829</v>
      </c>
      <c r="J22" s="26" t="s">
        <v>33</v>
      </c>
      <c r="M22" s="26" t="s">
        <v>800</v>
      </c>
      <c r="N22" s="26" t="s">
        <v>75</v>
      </c>
      <c r="O22" s="26" t="s">
        <v>814</v>
      </c>
      <c r="P22" s="26" t="s">
        <v>827</v>
      </c>
    </row>
    <row r="23" spans="1:17" ht="14.4" customHeight="1" x14ac:dyDescent="0.3">
      <c r="A23" s="13">
        <v>17</v>
      </c>
      <c r="B23" s="8" t="str" cm="1">
        <f t="array" ref="B23">TranslateToLiteral(A23,0)</f>
        <v>[t,d,a]-[c,k,i]</v>
      </c>
      <c r="C23" s="9" t="s">
        <v>471</v>
      </c>
      <c r="D23" s="9" t="s">
        <v>980</v>
      </c>
      <c r="E23" s="8" t="s">
        <v>981</v>
      </c>
      <c r="F23" s="8"/>
      <c r="G23" s="8" t="str">
        <f>var\Pictures&amp;tab\PAO.pl[[#This Row],[Code]]&amp;".png"</f>
        <v>C:\Downloads\Project_PAO\pictures\17.png</v>
      </c>
      <c r="H23" s="26" t="s">
        <v>2</v>
      </c>
      <c r="I23" s="26" t="s">
        <v>829</v>
      </c>
      <c r="J23" s="26" t="s">
        <v>33</v>
      </c>
      <c r="M23" s="26" t="s">
        <v>800</v>
      </c>
      <c r="N23" s="26" t="s">
        <v>75</v>
      </c>
      <c r="O23" s="26" t="s">
        <v>812</v>
      </c>
      <c r="P23" s="26" t="s">
        <v>74</v>
      </c>
    </row>
    <row r="24" spans="1:17" ht="14.4" customHeight="1" x14ac:dyDescent="0.3">
      <c r="A24" s="13">
        <v>18</v>
      </c>
      <c r="B24" s="8" t="str" cm="1">
        <f t="array" ref="B24">TranslateToLiteral(A24,0)</f>
        <v>[t,d,a]-[p,b]</v>
      </c>
      <c r="C24" s="8" t="s">
        <v>891</v>
      </c>
      <c r="D24" s="8" t="s">
        <v>982</v>
      </c>
      <c r="E24" s="9" t="s">
        <v>983</v>
      </c>
      <c r="F24" s="9" t="s">
        <v>984</v>
      </c>
      <c r="G24" s="9" t="str">
        <f>var\Pictures&amp;tab\PAO.pl[[#This Row],[Code]]&amp;".png"</f>
        <v>C:\Downloads\Project_PAO\pictures\18.png</v>
      </c>
      <c r="H24" s="26" t="s">
        <v>2</v>
      </c>
      <c r="I24" s="26" t="s">
        <v>829</v>
      </c>
      <c r="J24" s="26" t="s">
        <v>33</v>
      </c>
      <c r="K24" s="26" t="s">
        <v>33</v>
      </c>
      <c r="M24" s="26" t="s">
        <v>838</v>
      </c>
      <c r="N24" s="26" t="s">
        <v>75</v>
      </c>
      <c r="O24" s="26" t="s">
        <v>810</v>
      </c>
      <c r="P24" s="26" t="s">
        <v>74</v>
      </c>
      <c r="Q24" s="26" t="s">
        <v>33</v>
      </c>
    </row>
    <row r="25" spans="1:17" s="7" customFormat="1" ht="14.4" customHeight="1" x14ac:dyDescent="0.3">
      <c r="A25" s="13">
        <v>19</v>
      </c>
      <c r="B25" s="8" t="str" cm="1">
        <f t="array" ref="B25">TranslateToLiteral(A25,0)</f>
        <v>[t,d,a]-[l,j,y]</v>
      </c>
      <c r="C25" s="8" t="s">
        <v>539</v>
      </c>
      <c r="D25" s="9" t="s">
        <v>985</v>
      </c>
      <c r="E25" s="8" t="s">
        <v>986</v>
      </c>
      <c r="F25" s="8" t="s">
        <v>987</v>
      </c>
      <c r="G25" s="8" t="str">
        <f>var\Pictures&amp;tab\PAO.pl[[#This Row],[Code]]&amp;".png"</f>
        <v>C:\Downloads\Project_PAO\pictures\19.png</v>
      </c>
      <c r="H25" s="26" t="s">
        <v>2</v>
      </c>
      <c r="I25" s="26" t="s">
        <v>829</v>
      </c>
      <c r="J25" s="26"/>
      <c r="K25" s="26"/>
      <c r="L25" s="26"/>
      <c r="M25" s="26" t="s">
        <v>802</v>
      </c>
      <c r="N25" s="26" t="s">
        <v>75</v>
      </c>
      <c r="O25" s="26" t="s">
        <v>814</v>
      </c>
      <c r="P25" s="26" t="s">
        <v>74</v>
      </c>
      <c r="Q25" s="26" t="s">
        <v>33</v>
      </c>
    </row>
    <row r="26" spans="1:17" ht="14.4" customHeight="1" x14ac:dyDescent="0.3">
      <c r="A26" s="13">
        <v>20</v>
      </c>
      <c r="B26" s="8" t="str" cm="1">
        <f t="array" ref="B26">TranslateToLiteral(A26,0)</f>
        <v>[n,m]-[s,z,o]</v>
      </c>
      <c r="C26" s="9" t="s">
        <v>463</v>
      </c>
      <c r="D26" s="8" t="s">
        <v>988</v>
      </c>
      <c r="E26" s="8" t="s">
        <v>989</v>
      </c>
      <c r="F26" s="8"/>
      <c r="G26" s="8" t="str">
        <f>var\Pictures&amp;tab\PAO.pl[[#This Row],[Code]]&amp;".png"</f>
        <v>C:\Downloads\Project_PAO\pictures\20.png</v>
      </c>
      <c r="H26" s="26" t="s">
        <v>354</v>
      </c>
      <c r="I26" s="26" t="s">
        <v>829</v>
      </c>
      <c r="K26" s="26" t="s">
        <v>33</v>
      </c>
      <c r="M26" s="26" t="s">
        <v>832</v>
      </c>
      <c r="N26" s="26" t="s">
        <v>75</v>
      </c>
      <c r="O26" s="26" t="s">
        <v>330</v>
      </c>
      <c r="P26" s="26" t="s">
        <v>74</v>
      </c>
    </row>
    <row r="27" spans="1:17" ht="14.4" customHeight="1" x14ac:dyDescent="0.3">
      <c r="A27" s="13">
        <v>21</v>
      </c>
      <c r="B27" s="8" t="str" cm="1">
        <f t="array" ref="B27">TranslateToLiteral(A27,0)</f>
        <v>[n,m]-[t,d,a]</v>
      </c>
      <c r="C27" s="9" t="s">
        <v>497</v>
      </c>
      <c r="D27" s="2" t="s">
        <v>990</v>
      </c>
      <c r="E27" s="8" t="s">
        <v>991</v>
      </c>
      <c r="F27" s="8"/>
      <c r="G27" s="8" t="str">
        <f>var\Pictures&amp;tab\PAO.pl[[#This Row],[Code]]&amp;".png"</f>
        <v>C:\Downloads\Project_PAO\pictures\21.png</v>
      </c>
      <c r="H27" s="26" t="s">
        <v>354</v>
      </c>
      <c r="I27" s="26" t="s">
        <v>829</v>
      </c>
      <c r="M27" s="26" t="s">
        <v>804</v>
      </c>
      <c r="N27" s="26" t="s">
        <v>75</v>
      </c>
      <c r="O27" s="26" t="s">
        <v>809</v>
      </c>
      <c r="P27" s="26" t="s">
        <v>827</v>
      </c>
    </row>
    <row r="28" spans="1:17" ht="14.4" customHeight="1" x14ac:dyDescent="0.3">
      <c r="A28" s="13">
        <v>22</v>
      </c>
      <c r="B28" s="8" t="str" cm="1">
        <f t="array" ref="B28">TranslateToLiteral(A28,0)</f>
        <v>[n,m]-[n,m]</v>
      </c>
      <c r="C28" s="9" t="s">
        <v>368</v>
      </c>
      <c r="D28" s="2" t="s">
        <v>992</v>
      </c>
      <c r="E28" s="2" t="s">
        <v>993</v>
      </c>
      <c r="F28" s="2"/>
      <c r="G28" s="2" t="str">
        <f>var\Pictures&amp;tab\PAO.pl[[#This Row],[Code]]&amp;".png"</f>
        <v>C:\Downloads\Project_PAO\pictures\22.png</v>
      </c>
      <c r="H28" s="26" t="s">
        <v>354</v>
      </c>
      <c r="I28" s="26" t="s">
        <v>829</v>
      </c>
      <c r="M28" s="26" t="s">
        <v>802</v>
      </c>
      <c r="N28" s="26" t="s">
        <v>75</v>
      </c>
      <c r="O28" s="26" t="s">
        <v>809</v>
      </c>
      <c r="P28" s="26" t="s">
        <v>833</v>
      </c>
    </row>
    <row r="29" spans="1:17" ht="14.4" customHeight="1" x14ac:dyDescent="0.3">
      <c r="A29" s="13">
        <v>23</v>
      </c>
      <c r="B29" s="8" t="str" cm="1">
        <f t="array" ref="B29">TranslateToLiteral(A29,0)</f>
        <v>[n,m]-[f,g,e]</v>
      </c>
      <c r="C29" s="9" t="s">
        <v>889</v>
      </c>
      <c r="D29" s="2" t="s">
        <v>994</v>
      </c>
      <c r="E29" s="8" t="s">
        <v>995</v>
      </c>
      <c r="F29" s="8"/>
      <c r="G29" s="8" t="str">
        <f>var\Pictures&amp;tab\PAO.pl[[#This Row],[Code]]&amp;".png"</f>
        <v>C:\Downloads\Project_PAO\pictures\23.png</v>
      </c>
      <c r="H29" s="26" t="s">
        <v>354</v>
      </c>
      <c r="I29" s="26" t="s">
        <v>829</v>
      </c>
      <c r="M29" s="26" t="s">
        <v>815</v>
      </c>
      <c r="N29" s="26" t="s">
        <v>75</v>
      </c>
      <c r="O29" s="26" t="s">
        <v>812</v>
      </c>
      <c r="P29" s="26" t="s">
        <v>74</v>
      </c>
    </row>
    <row r="30" spans="1:17" ht="14.4" customHeight="1" x14ac:dyDescent="0.3">
      <c r="A30" s="13">
        <v>24</v>
      </c>
      <c r="B30" s="8" t="str" cm="1">
        <f t="array" ref="B30">TranslateToLiteral(A30,0)</f>
        <v>[n,m]-[r,q]</v>
      </c>
      <c r="C30" s="9" t="s">
        <v>143</v>
      </c>
      <c r="D30" s="2" t="s">
        <v>996</v>
      </c>
      <c r="E30" s="2" t="s">
        <v>997</v>
      </c>
      <c r="F30" s="2" t="s">
        <v>998</v>
      </c>
      <c r="G30" s="2" t="str">
        <f>var\Pictures&amp;tab\PAO.pl[[#This Row],[Code]]&amp;".png"</f>
        <v>C:\Downloads\Project_PAO\pictures\24.png</v>
      </c>
      <c r="H30" s="26" t="s">
        <v>354</v>
      </c>
      <c r="I30" s="26" t="s">
        <v>829</v>
      </c>
      <c r="M30" s="26" t="s">
        <v>807</v>
      </c>
      <c r="N30" s="26" t="s">
        <v>75</v>
      </c>
      <c r="O30" s="26" t="s">
        <v>814</v>
      </c>
      <c r="P30" s="26" t="s">
        <v>74</v>
      </c>
      <c r="Q30" s="26" t="s">
        <v>33</v>
      </c>
    </row>
    <row r="31" spans="1:17" ht="14.4" customHeight="1" x14ac:dyDescent="0.3">
      <c r="A31" s="13">
        <v>25</v>
      </c>
      <c r="B31" s="8" t="str" cm="1">
        <f t="array" ref="B31">TranslateToLiteral(A31,0)</f>
        <v>[n,m]-[v,w,u]</v>
      </c>
      <c r="C31" s="9" t="s">
        <v>369</v>
      </c>
      <c r="D31" s="2" t="s">
        <v>999</v>
      </c>
      <c r="E31" s="2" t="s">
        <v>1000</v>
      </c>
      <c r="F31" s="2"/>
      <c r="G31" s="2" t="str">
        <f>var\Pictures&amp;tab\PAO.pl[[#This Row],[Code]]&amp;".png"</f>
        <v>C:\Downloads\Project_PAO\pictures\25.png</v>
      </c>
      <c r="H31" s="26" t="s">
        <v>354</v>
      </c>
      <c r="I31" s="26" t="s">
        <v>829</v>
      </c>
      <c r="M31" s="26" t="s">
        <v>815</v>
      </c>
      <c r="N31" s="26" t="s">
        <v>75</v>
      </c>
      <c r="O31" s="26" t="s">
        <v>808</v>
      </c>
      <c r="P31" s="26" t="s">
        <v>827</v>
      </c>
    </row>
    <row r="32" spans="1:17" ht="14.4" customHeight="1" x14ac:dyDescent="0.3">
      <c r="A32" s="13">
        <v>26</v>
      </c>
      <c r="B32" s="8" t="str" cm="1">
        <f t="array" ref="B32">TranslateToLiteral(A32,0)</f>
        <v>[n,m]-[h,x]</v>
      </c>
      <c r="C32" s="9" t="s">
        <v>370</v>
      </c>
      <c r="D32" s="2" t="s">
        <v>1001</v>
      </c>
      <c r="E32" s="2" t="s">
        <v>1002</v>
      </c>
      <c r="F32" s="2"/>
      <c r="G32" s="2" t="str">
        <f>var\Pictures&amp;tab\PAO.pl[[#This Row],[Code]]&amp;".png"</f>
        <v>C:\Downloads\Project_PAO\pictures\26.png</v>
      </c>
      <c r="H32" s="26" t="s">
        <v>354</v>
      </c>
      <c r="I32" s="26" t="s">
        <v>829</v>
      </c>
      <c r="K32" s="26" t="s">
        <v>33</v>
      </c>
      <c r="M32" s="26" t="s">
        <v>807</v>
      </c>
      <c r="N32" s="26" t="s">
        <v>75</v>
      </c>
      <c r="O32" s="26" t="s">
        <v>812</v>
      </c>
      <c r="P32" s="26" t="s">
        <v>74</v>
      </c>
    </row>
    <row r="33" spans="1:17" ht="14.4" customHeight="1" x14ac:dyDescent="0.3">
      <c r="A33" s="13">
        <v>27</v>
      </c>
      <c r="B33" s="8" t="str" cm="1">
        <f t="array" ref="B33">TranslateToLiteral(A33,0)</f>
        <v>[n,m]-[c,k,i]</v>
      </c>
      <c r="C33" s="9" t="s">
        <v>371</v>
      </c>
      <c r="D33" s="2" t="s">
        <v>1003</v>
      </c>
      <c r="E33" s="2" t="s">
        <v>1004</v>
      </c>
      <c r="F33" s="2"/>
      <c r="G33" s="2" t="str">
        <f>var\Pictures&amp;tab\PAO.pl[[#This Row],[Code]]&amp;".png"</f>
        <v>C:\Downloads\Project_PAO\pictures\27.png</v>
      </c>
      <c r="H33" s="26" t="s">
        <v>354</v>
      </c>
      <c r="I33" s="26" t="s">
        <v>829</v>
      </c>
      <c r="M33" s="26" t="s">
        <v>832</v>
      </c>
      <c r="N33" s="26" t="s">
        <v>75</v>
      </c>
      <c r="O33" s="26" t="s">
        <v>812</v>
      </c>
      <c r="P33" s="26" t="s">
        <v>827</v>
      </c>
    </row>
    <row r="34" spans="1:17" ht="14.4" customHeight="1" x14ac:dyDescent="0.3">
      <c r="A34" s="13">
        <v>28</v>
      </c>
      <c r="B34" s="8" t="str" cm="1">
        <f t="array" ref="B34">TranslateToLiteral(A34,0)</f>
        <v>[n,m]-[p,b]</v>
      </c>
      <c r="C34" s="9" t="s">
        <v>387</v>
      </c>
      <c r="D34" s="2" t="s">
        <v>1005</v>
      </c>
      <c r="E34" s="2" t="s">
        <v>1006</v>
      </c>
      <c r="F34" s="2" t="s">
        <v>1007</v>
      </c>
      <c r="G34" s="2" t="str">
        <f>var\Pictures&amp;tab\PAO.pl[[#This Row],[Code]]&amp;".png"</f>
        <v>C:\Downloads\Project_PAO\pictures\28.png</v>
      </c>
      <c r="H34" s="26" t="s">
        <v>354</v>
      </c>
      <c r="I34" s="26" t="s">
        <v>829</v>
      </c>
      <c r="M34" s="26" t="s">
        <v>800</v>
      </c>
      <c r="N34" s="26" t="s">
        <v>75</v>
      </c>
      <c r="O34" s="26" t="s">
        <v>809</v>
      </c>
      <c r="P34" s="26" t="s">
        <v>74</v>
      </c>
      <c r="Q34" s="26" t="s">
        <v>33</v>
      </c>
    </row>
    <row r="35" spans="1:17" ht="14.4" customHeight="1" x14ac:dyDescent="0.3">
      <c r="A35" s="13">
        <v>29</v>
      </c>
      <c r="B35" s="8" t="str" cm="1">
        <f t="array" ref="B35">TranslateToLiteral(A35,0)</f>
        <v>[n,m]-[l,j,y]</v>
      </c>
      <c r="C35" s="9" t="s">
        <v>157</v>
      </c>
      <c r="D35" s="2" t="s">
        <v>1008</v>
      </c>
      <c r="E35" s="2" t="s">
        <v>1009</v>
      </c>
      <c r="F35" s="2"/>
      <c r="G35" s="2" t="str">
        <f>var\Pictures&amp;tab\PAO.pl[[#This Row],[Code]]&amp;".png"</f>
        <v>C:\Downloads\Project_PAO\pictures\29.png</v>
      </c>
      <c r="H35" s="26" t="s">
        <v>354</v>
      </c>
      <c r="I35" s="26" t="s">
        <v>829</v>
      </c>
      <c r="M35" s="26" t="s">
        <v>801</v>
      </c>
      <c r="N35" s="26" t="s">
        <v>75</v>
      </c>
      <c r="O35" s="26" t="s">
        <v>812</v>
      </c>
      <c r="P35" s="26" t="s">
        <v>74</v>
      </c>
    </row>
    <row r="36" spans="1:17" ht="14.4" customHeight="1" x14ac:dyDescent="0.3">
      <c r="A36" s="13">
        <v>30</v>
      </c>
      <c r="B36" s="8" t="str" cm="1">
        <f t="array" ref="B36">TranslateToLiteral(A36,0)</f>
        <v>[f,g,e]-[s,z,o]</v>
      </c>
      <c r="C36" s="9" t="s">
        <v>220</v>
      </c>
      <c r="D36" s="2" t="s">
        <v>1010</v>
      </c>
      <c r="E36" s="2" t="s">
        <v>1011</v>
      </c>
      <c r="F36" s="2"/>
      <c r="G36" s="2" t="str">
        <f>var\Pictures&amp;tab\PAO.pl[[#This Row],[Code]]&amp;".png"</f>
        <v>C:\Downloads\Project_PAO\pictures\30.png</v>
      </c>
      <c r="H36" s="26" t="s">
        <v>362</v>
      </c>
      <c r="I36" s="26" t="s">
        <v>829</v>
      </c>
      <c r="J36" s="26" t="s">
        <v>33</v>
      </c>
      <c r="M36" s="26" t="s">
        <v>804</v>
      </c>
      <c r="N36" s="26" t="s">
        <v>75</v>
      </c>
      <c r="O36" s="26" t="s">
        <v>810</v>
      </c>
      <c r="P36" s="26" t="s">
        <v>74</v>
      </c>
    </row>
    <row r="37" spans="1:17" ht="14.4" customHeight="1" x14ac:dyDescent="0.3">
      <c r="A37" s="13">
        <v>31</v>
      </c>
      <c r="B37" s="8" t="str" cm="1">
        <f t="array" ref="B37">TranslateToLiteral(A37,0)</f>
        <v>[f,g,e]-[t,d,a]</v>
      </c>
      <c r="C37" s="9" t="s">
        <v>430</v>
      </c>
      <c r="D37" s="2" t="s">
        <v>1012</v>
      </c>
      <c r="E37" s="2" t="s">
        <v>1013</v>
      </c>
      <c r="F37" s="2"/>
      <c r="G37" s="2" t="str">
        <f>var\Pictures&amp;tab\PAO.pl[[#This Row],[Code]]&amp;".png"</f>
        <v>C:\Downloads\Project_PAO\pictures\31.png</v>
      </c>
      <c r="H37" s="26" t="s">
        <v>362</v>
      </c>
      <c r="I37" s="26" t="s">
        <v>829</v>
      </c>
      <c r="J37" s="26" t="s">
        <v>33</v>
      </c>
      <c r="M37" s="26" t="s">
        <v>801</v>
      </c>
      <c r="N37" s="26" t="s">
        <v>75</v>
      </c>
      <c r="O37" s="26" t="s">
        <v>810</v>
      </c>
      <c r="P37" s="26" t="s">
        <v>74</v>
      </c>
    </row>
    <row r="38" spans="1:17" ht="14.4" customHeight="1" x14ac:dyDescent="0.3">
      <c r="A38" s="13">
        <v>32</v>
      </c>
      <c r="B38" s="8" t="str" cm="1">
        <f t="array" ref="B38">TranslateToLiteral(A38,0)</f>
        <v>[f,g,e]-[n,m]</v>
      </c>
      <c r="C38" s="9" t="s">
        <v>278</v>
      </c>
      <c r="D38" s="2" t="s">
        <v>1014</v>
      </c>
      <c r="E38" s="2" t="s">
        <v>1015</v>
      </c>
      <c r="F38" s="2"/>
      <c r="G38" s="2" t="str">
        <f>var\Pictures&amp;tab\PAO.pl[[#This Row],[Code]]&amp;".png"</f>
        <v>C:\Downloads\Project_PAO\pictures\32.png</v>
      </c>
      <c r="H38" s="26" t="s">
        <v>362</v>
      </c>
      <c r="I38" s="26" t="s">
        <v>829</v>
      </c>
      <c r="J38" s="26" t="s">
        <v>33</v>
      </c>
      <c r="M38" s="26" t="s">
        <v>806</v>
      </c>
      <c r="N38" s="26" t="s">
        <v>75</v>
      </c>
      <c r="O38" s="26" t="s">
        <v>812</v>
      </c>
      <c r="P38" s="26" t="s">
        <v>827</v>
      </c>
    </row>
    <row r="39" spans="1:17" ht="14.4" customHeight="1" x14ac:dyDescent="0.3">
      <c r="A39" s="13">
        <v>33</v>
      </c>
      <c r="B39" s="8" t="str" cm="1">
        <f t="array" ref="B39">TranslateToLiteral(A39,0)</f>
        <v>[f,g,e]-[f,g,e]</v>
      </c>
      <c r="C39" s="9" t="s">
        <v>181</v>
      </c>
      <c r="D39" s="2" t="s">
        <v>1016</v>
      </c>
      <c r="E39" s="2" t="s">
        <v>1017</v>
      </c>
      <c r="F39" s="2" t="s">
        <v>1018</v>
      </c>
      <c r="G39" s="2" t="str">
        <f>var\Pictures&amp;tab\PAO.pl[[#This Row],[Code]]&amp;".png"</f>
        <v>C:\Downloads\Project_PAO\pictures\33.png</v>
      </c>
      <c r="H39" s="26" t="s">
        <v>362</v>
      </c>
      <c r="I39" s="26" t="s">
        <v>829</v>
      </c>
      <c r="J39" s="26" t="s">
        <v>33</v>
      </c>
      <c r="M39" s="26" t="s">
        <v>815</v>
      </c>
      <c r="N39" s="26" t="s">
        <v>75</v>
      </c>
      <c r="O39" s="26" t="s">
        <v>814</v>
      </c>
      <c r="P39" s="26" t="s">
        <v>74</v>
      </c>
      <c r="Q39" s="26" t="s">
        <v>33</v>
      </c>
    </row>
    <row r="40" spans="1:17" ht="14.4" customHeight="1" x14ac:dyDescent="0.3">
      <c r="A40" s="13">
        <v>34</v>
      </c>
      <c r="B40" s="8" t="str" cm="1">
        <f t="array" ref="B40">TranslateToLiteral(A40,0)</f>
        <v>[f,g,e]-[r,q]</v>
      </c>
      <c r="C40" s="9" t="s">
        <v>153</v>
      </c>
      <c r="D40" s="2" t="s">
        <v>1019</v>
      </c>
      <c r="E40" s="2" t="s">
        <v>1020</v>
      </c>
      <c r="F40" s="2"/>
      <c r="G40" s="2" t="str">
        <f>var\Pictures&amp;tab\PAO.pl[[#This Row],[Code]]&amp;".png"</f>
        <v>C:\Downloads\Project_PAO\pictures\34.png</v>
      </c>
      <c r="H40" s="26" t="s">
        <v>362</v>
      </c>
      <c r="I40" s="26" t="s">
        <v>829</v>
      </c>
      <c r="J40" s="26" t="s">
        <v>33</v>
      </c>
      <c r="M40" s="26" t="s">
        <v>804</v>
      </c>
      <c r="N40" s="26" t="s">
        <v>833</v>
      </c>
      <c r="O40" s="26" t="s">
        <v>811</v>
      </c>
      <c r="P40" s="26" t="s">
        <v>74</v>
      </c>
    </row>
    <row r="41" spans="1:17" ht="14.4" customHeight="1" x14ac:dyDescent="0.3">
      <c r="A41" s="13">
        <v>35</v>
      </c>
      <c r="B41" s="8" t="str" cm="1">
        <f t="array" ref="B41">TranslateToLiteral(A41,0)</f>
        <v>[f,g,e]-[v,w,u]</v>
      </c>
      <c r="C41" s="9" t="s">
        <v>373</v>
      </c>
      <c r="D41" s="2" t="s">
        <v>1021</v>
      </c>
      <c r="E41" s="2" t="s">
        <v>1022</v>
      </c>
      <c r="F41" s="2"/>
      <c r="G41" s="2" t="str">
        <f>var\Pictures&amp;tab\PAO.pl[[#This Row],[Code]]&amp;".png"</f>
        <v>C:\Downloads\Project_PAO\pictures\35.png</v>
      </c>
      <c r="H41" s="26" t="s">
        <v>362</v>
      </c>
      <c r="I41" s="26" t="s">
        <v>829</v>
      </c>
      <c r="J41" s="26" t="s">
        <v>33</v>
      </c>
      <c r="M41" s="26" t="s">
        <v>807</v>
      </c>
      <c r="N41" s="26" t="s">
        <v>75</v>
      </c>
      <c r="O41" s="26" t="s">
        <v>809</v>
      </c>
      <c r="P41" s="26" t="s">
        <v>74</v>
      </c>
    </row>
    <row r="42" spans="1:17" ht="14.4" customHeight="1" x14ac:dyDescent="0.3">
      <c r="A42" s="13">
        <v>36</v>
      </c>
      <c r="B42" s="8" t="str" cm="1">
        <f t="array" ref="B42">TranslateToLiteral(A42,0)</f>
        <v>[f,g,e]-[h,x]</v>
      </c>
      <c r="C42" s="9" t="s">
        <v>432</v>
      </c>
      <c r="D42" s="2" t="s">
        <v>1023</v>
      </c>
      <c r="E42" s="2" t="s">
        <v>1024</v>
      </c>
      <c r="F42" s="2"/>
      <c r="G42" s="2" t="str">
        <f>var\Pictures&amp;tab\PAO.pl[[#This Row],[Code]]&amp;".png"</f>
        <v>C:\Downloads\Project_PAO\pictures\36.png</v>
      </c>
      <c r="H42" s="26" t="s">
        <v>362</v>
      </c>
      <c r="I42" s="26" t="s">
        <v>829</v>
      </c>
      <c r="J42" s="26" t="s">
        <v>33</v>
      </c>
      <c r="M42" s="26" t="s">
        <v>800</v>
      </c>
      <c r="N42" s="26" t="s">
        <v>75</v>
      </c>
      <c r="O42" s="26" t="s">
        <v>814</v>
      </c>
      <c r="P42" s="26" t="s">
        <v>74</v>
      </c>
    </row>
    <row r="43" spans="1:17" ht="14.4" customHeight="1" x14ac:dyDescent="0.3">
      <c r="A43" s="13">
        <v>37</v>
      </c>
      <c r="B43" s="8" t="str" cm="1">
        <f t="array" ref="B43">TranslateToLiteral(A43,0)</f>
        <v>[f,g,e]-[c,k,i]</v>
      </c>
      <c r="C43" s="9" t="s">
        <v>402</v>
      </c>
      <c r="D43" s="2" t="s">
        <v>406</v>
      </c>
      <c r="E43" s="2" t="s">
        <v>1025</v>
      </c>
      <c r="F43" s="2"/>
      <c r="G43" s="2" t="str">
        <f>var\Pictures&amp;tab\PAO.pl[[#This Row],[Code]]&amp;".png"</f>
        <v>C:\Downloads\Project_PAO\pictures\37.png</v>
      </c>
      <c r="H43" s="26" t="s">
        <v>362</v>
      </c>
      <c r="I43" s="26" t="s">
        <v>829</v>
      </c>
      <c r="J43" s="26" t="s">
        <v>33</v>
      </c>
      <c r="M43" s="26" t="s">
        <v>838</v>
      </c>
      <c r="N43" s="26" t="s">
        <v>75</v>
      </c>
      <c r="O43" s="26" t="s">
        <v>814</v>
      </c>
      <c r="P43" s="26" t="s">
        <v>74</v>
      </c>
    </row>
    <row r="44" spans="1:17" ht="14.4" customHeight="1" x14ac:dyDescent="0.3">
      <c r="A44" s="13">
        <v>38</v>
      </c>
      <c r="B44" s="8" t="str" cm="1">
        <f t="array" ref="B44">TranslateToLiteral(A44,0)</f>
        <v>[f,g,e]-[p,b]</v>
      </c>
      <c r="C44" s="9" t="s">
        <v>408</v>
      </c>
      <c r="D44" s="2" t="s">
        <v>1026</v>
      </c>
      <c r="E44" s="2" t="s">
        <v>1027</v>
      </c>
      <c r="F44" s="2" t="s">
        <v>1028</v>
      </c>
      <c r="G44" s="2" t="str">
        <f>var\Pictures&amp;tab\PAO.pl[[#This Row],[Code]]&amp;".png"</f>
        <v>C:\Downloads\Project_PAO\pictures\38.png</v>
      </c>
      <c r="H44" s="26" t="s">
        <v>362</v>
      </c>
      <c r="I44" s="26" t="s">
        <v>829</v>
      </c>
      <c r="J44" s="26" t="s">
        <v>33</v>
      </c>
      <c r="M44" s="26" t="s">
        <v>832</v>
      </c>
      <c r="N44" s="26" t="s">
        <v>75</v>
      </c>
      <c r="O44" s="26" t="s">
        <v>814</v>
      </c>
      <c r="P44" s="26" t="s">
        <v>827</v>
      </c>
      <c r="Q44" s="26" t="s">
        <v>33</v>
      </c>
    </row>
    <row r="45" spans="1:17" ht="14.4" customHeight="1" x14ac:dyDescent="0.3">
      <c r="A45" s="13">
        <v>39</v>
      </c>
      <c r="B45" s="8" t="str" cm="1">
        <f t="array" ref="B45">TranslateToLiteral(A45,0)</f>
        <v>[f,g,e]-[l,j,y]</v>
      </c>
      <c r="C45" s="9" t="s">
        <v>426</v>
      </c>
      <c r="D45" s="2" t="s">
        <v>1029</v>
      </c>
      <c r="E45" s="2" t="s">
        <v>1030</v>
      </c>
      <c r="F45" s="2"/>
      <c r="G45" s="2" t="str">
        <f>var\Pictures&amp;tab\PAO.pl[[#This Row],[Code]]&amp;".png"</f>
        <v>C:\Downloads\Project_PAO\pictures\39.png</v>
      </c>
      <c r="H45" s="26" t="s">
        <v>362</v>
      </c>
      <c r="I45" s="26" t="s">
        <v>829</v>
      </c>
      <c r="J45" s="26" t="s">
        <v>33</v>
      </c>
      <c r="M45" s="26" t="s">
        <v>815</v>
      </c>
      <c r="N45" s="26" t="s">
        <v>75</v>
      </c>
      <c r="O45" s="26" t="s">
        <v>811</v>
      </c>
      <c r="P45" s="26" t="s">
        <v>74</v>
      </c>
    </row>
    <row r="46" spans="1:17" ht="14.4" customHeight="1" x14ac:dyDescent="0.3">
      <c r="A46" s="13">
        <v>40</v>
      </c>
      <c r="B46" s="8" t="str" cm="1">
        <f t="array" ref="B46">TranslateToLiteral(A46,0)</f>
        <v>[r,q]-[s,z,o]</v>
      </c>
      <c r="C46" s="9" t="s">
        <v>316</v>
      </c>
      <c r="D46" s="2" t="s">
        <v>1031</v>
      </c>
      <c r="E46" s="2" t="s">
        <v>949</v>
      </c>
      <c r="F46" s="2" t="s">
        <v>1032</v>
      </c>
      <c r="G46" s="2" t="str">
        <f>var\Pictures&amp;tab\PAO.pl[[#This Row],[Code]]&amp;".png"</f>
        <v>C:\Downloads\Project_PAO\pictures\40.png</v>
      </c>
      <c r="H46" s="26" t="s">
        <v>360</v>
      </c>
      <c r="I46" s="26" t="s">
        <v>829</v>
      </c>
      <c r="M46" s="26" t="s">
        <v>800</v>
      </c>
      <c r="N46" s="26" t="s">
        <v>75</v>
      </c>
      <c r="O46" s="26" t="s">
        <v>330</v>
      </c>
      <c r="P46" s="26" t="s">
        <v>827</v>
      </c>
      <c r="Q46" s="26" t="s">
        <v>33</v>
      </c>
    </row>
    <row r="47" spans="1:17" ht="14.4" customHeight="1" x14ac:dyDescent="0.3">
      <c r="A47" s="13">
        <v>41</v>
      </c>
      <c r="B47" s="8" t="str" cm="1">
        <f t="array" ref="B47">TranslateToLiteral(A47,0)</f>
        <v>[r,q]-[t,d,a]</v>
      </c>
      <c r="C47" s="9" t="s">
        <v>414</v>
      </c>
      <c r="D47" s="2" t="s">
        <v>1033</v>
      </c>
      <c r="E47" s="8" t="s">
        <v>1034</v>
      </c>
      <c r="F47" s="8" t="s">
        <v>1035</v>
      </c>
      <c r="G47" s="8" t="str">
        <f>var\Pictures&amp;tab\PAO.pl[[#This Row],[Code]]&amp;".png"</f>
        <v>C:\Downloads\Project_PAO\pictures\41.png</v>
      </c>
      <c r="H47" s="26" t="s">
        <v>360</v>
      </c>
      <c r="I47" s="26" t="s">
        <v>829</v>
      </c>
      <c r="M47" s="26" t="s">
        <v>803</v>
      </c>
      <c r="N47" s="26" t="s">
        <v>75</v>
      </c>
      <c r="O47" s="26" t="s">
        <v>813</v>
      </c>
      <c r="P47" s="26" t="s">
        <v>827</v>
      </c>
      <c r="Q47" s="26" t="s">
        <v>33</v>
      </c>
    </row>
    <row r="48" spans="1:17" ht="14.4" customHeight="1" x14ac:dyDescent="0.3">
      <c r="A48" s="13">
        <v>42</v>
      </c>
      <c r="B48" s="8" t="str" cm="1">
        <f t="array" ref="B48">TranslateToLiteral(A48,0)</f>
        <v>[r,q]-[n,m]</v>
      </c>
      <c r="C48" s="9" t="s">
        <v>364</v>
      </c>
      <c r="D48" s="2" t="s">
        <v>1036</v>
      </c>
      <c r="E48" s="2" t="s">
        <v>1037</v>
      </c>
      <c r="F48" s="2"/>
      <c r="G48" s="2" t="str">
        <f>var\Pictures&amp;tab\PAO.pl[[#This Row],[Code]]&amp;".png"</f>
        <v>C:\Downloads\Project_PAO\pictures\42.png</v>
      </c>
      <c r="H48" s="26" t="s">
        <v>360</v>
      </c>
      <c r="I48" s="26" t="s">
        <v>829</v>
      </c>
      <c r="M48" s="26" t="s">
        <v>832</v>
      </c>
      <c r="N48" s="26" t="s">
        <v>75</v>
      </c>
      <c r="O48" s="26" t="s">
        <v>330</v>
      </c>
      <c r="P48" s="26" t="s">
        <v>74</v>
      </c>
    </row>
    <row r="49" spans="1:17" ht="14.4" customHeight="1" x14ac:dyDescent="0.3">
      <c r="A49" s="13">
        <v>43</v>
      </c>
      <c r="B49" s="8" t="str" cm="1">
        <f t="array" ref="B49">TranslateToLiteral(A49,0)</f>
        <v>[r,q]-[f,g,e]</v>
      </c>
      <c r="C49" s="9" t="s">
        <v>171</v>
      </c>
      <c r="D49" s="2" t="s">
        <v>1038</v>
      </c>
      <c r="E49" s="2" t="s">
        <v>1039</v>
      </c>
      <c r="F49" s="2"/>
      <c r="G49" s="2" t="str">
        <f>var\Pictures&amp;tab\PAO.pl[[#This Row],[Code]]&amp;".png"</f>
        <v>C:\Downloads\Project_PAO\pictures\43.png</v>
      </c>
      <c r="H49" s="26" t="s">
        <v>360</v>
      </c>
      <c r="I49" s="26" t="s">
        <v>829</v>
      </c>
      <c r="J49" s="26" t="s">
        <v>33</v>
      </c>
      <c r="M49" s="26" t="s">
        <v>802</v>
      </c>
      <c r="N49" s="26" t="s">
        <v>75</v>
      </c>
      <c r="O49" s="26" t="s">
        <v>814</v>
      </c>
      <c r="P49" s="26" t="s">
        <v>74</v>
      </c>
      <c r="Q49" s="26" t="s">
        <v>33</v>
      </c>
    </row>
    <row r="50" spans="1:17" ht="14.4" customHeight="1" x14ac:dyDescent="0.3">
      <c r="A50" s="13">
        <v>44</v>
      </c>
      <c r="B50" s="8" t="str" cm="1">
        <f t="array" ref="B50">TranslateToLiteral(A50,0)</f>
        <v>[r,q]-[r,q]</v>
      </c>
      <c r="C50" s="9" t="s">
        <v>404</v>
      </c>
      <c r="D50" s="2" t="s">
        <v>1040</v>
      </c>
      <c r="E50" s="2" t="s">
        <v>1041</v>
      </c>
      <c r="F50" s="2"/>
      <c r="G50" s="2" t="str">
        <f>var\Pictures&amp;tab\PAO.pl[[#This Row],[Code]]&amp;".png"</f>
        <v>C:\Downloads\Project_PAO\pictures\44.png</v>
      </c>
      <c r="H50" s="26" t="s">
        <v>360</v>
      </c>
      <c r="I50" s="26" t="s">
        <v>829</v>
      </c>
      <c r="M50" s="26" t="s">
        <v>802</v>
      </c>
      <c r="N50" s="26" t="s">
        <v>75</v>
      </c>
      <c r="O50" s="26" t="s">
        <v>813</v>
      </c>
      <c r="P50" s="26" t="s">
        <v>74</v>
      </c>
    </row>
    <row r="51" spans="1:17" ht="14.4" customHeight="1" x14ac:dyDescent="0.3">
      <c r="A51" s="13">
        <v>45</v>
      </c>
      <c r="B51" s="8" t="str" cm="1">
        <f t="array" ref="B51">TranslateToLiteral(A51,0)</f>
        <v>[r,q]-[v,w,u]</v>
      </c>
      <c r="C51" s="9" t="s">
        <v>374</v>
      </c>
      <c r="D51" s="2" t="s">
        <v>1042</v>
      </c>
      <c r="E51" s="2" t="s">
        <v>1043</v>
      </c>
      <c r="F51" s="2"/>
      <c r="G51" s="2" t="str">
        <f>var\Pictures&amp;tab\PAO.pl[[#This Row],[Code]]&amp;".png"</f>
        <v>C:\Downloads\Project_PAO\pictures\45.png</v>
      </c>
      <c r="H51" s="26" t="s">
        <v>360</v>
      </c>
      <c r="I51" s="26" t="s">
        <v>829</v>
      </c>
      <c r="M51" s="26" t="s">
        <v>806</v>
      </c>
      <c r="N51" s="26" t="s">
        <v>75</v>
      </c>
      <c r="O51" s="26" t="s">
        <v>808</v>
      </c>
      <c r="P51" s="26" t="s">
        <v>74</v>
      </c>
    </row>
    <row r="52" spans="1:17" ht="14.4" customHeight="1" x14ac:dyDescent="0.3">
      <c r="A52" s="13">
        <v>46</v>
      </c>
      <c r="B52" s="8" t="str" cm="1">
        <f t="array" ref="B52">TranslateToLiteral(A52,0)</f>
        <v>[r,q]-[h,x]</v>
      </c>
      <c r="C52" s="9" t="s">
        <v>415</v>
      </c>
      <c r="D52" s="2" t="s">
        <v>1044</v>
      </c>
      <c r="E52" s="2" t="s">
        <v>1045</v>
      </c>
      <c r="F52" s="2" t="s">
        <v>1046</v>
      </c>
      <c r="G52" s="2" t="str">
        <f>var\Pictures&amp;tab\PAO.pl[[#This Row],[Code]]&amp;".png"</f>
        <v>C:\Downloads\Project_PAO\pictures\46.png</v>
      </c>
      <c r="H52" s="26" t="s">
        <v>360</v>
      </c>
      <c r="I52" s="26" t="s">
        <v>829</v>
      </c>
      <c r="J52" s="26" t="s">
        <v>33</v>
      </c>
      <c r="M52" s="26" t="s">
        <v>836</v>
      </c>
      <c r="N52" s="26" t="s">
        <v>75</v>
      </c>
      <c r="O52" s="26" t="s">
        <v>812</v>
      </c>
      <c r="P52" s="26" t="s">
        <v>74</v>
      </c>
      <c r="Q52" s="26" t="s">
        <v>33</v>
      </c>
    </row>
    <row r="53" spans="1:17" ht="14.4" customHeight="1" x14ac:dyDescent="0.3">
      <c r="A53" s="13">
        <v>47</v>
      </c>
      <c r="B53" s="8" t="str" cm="1">
        <f t="array" ref="B53">TranslateToLiteral(A53,0)</f>
        <v>[r,q]-[c,k,i]</v>
      </c>
      <c r="C53" s="9" t="s">
        <v>293</v>
      </c>
      <c r="D53" s="2" t="s">
        <v>1047</v>
      </c>
      <c r="E53" s="2" t="s">
        <v>1048</v>
      </c>
      <c r="F53" s="2"/>
      <c r="G53" s="2" t="str">
        <f>var\Pictures&amp;tab\PAO.pl[[#This Row],[Code]]&amp;".png"</f>
        <v>C:\Downloads\Project_PAO\pictures\47.png</v>
      </c>
      <c r="H53" s="26" t="s">
        <v>360</v>
      </c>
      <c r="I53" s="26" t="s">
        <v>829</v>
      </c>
      <c r="J53" s="26" t="s">
        <v>33</v>
      </c>
      <c r="M53" s="26" t="s">
        <v>832</v>
      </c>
      <c r="N53" s="26" t="s">
        <v>75</v>
      </c>
      <c r="O53" s="26" t="s">
        <v>808</v>
      </c>
      <c r="P53" s="26" t="s">
        <v>827</v>
      </c>
      <c r="Q53" s="26" t="s">
        <v>33</v>
      </c>
    </row>
    <row r="54" spans="1:17" ht="14.4" customHeight="1" x14ac:dyDescent="0.3">
      <c r="A54" s="13">
        <v>48</v>
      </c>
      <c r="B54" s="8" t="str" cm="1">
        <f t="array" ref="B54">TranslateToLiteral(A54,0)</f>
        <v>[r,q]-[p,b]</v>
      </c>
      <c r="C54" s="9" t="s">
        <v>878</v>
      </c>
      <c r="D54" s="2" t="s">
        <v>1049</v>
      </c>
      <c r="E54" s="2" t="s">
        <v>1050</v>
      </c>
      <c r="F54" s="2" t="s">
        <v>1051</v>
      </c>
      <c r="G54" s="2" t="str">
        <f>var\Pictures&amp;tab\PAO.pl[[#This Row],[Code]]&amp;".png"</f>
        <v>C:\Downloads\Project_PAO\pictures\48.png</v>
      </c>
      <c r="H54" s="26" t="s">
        <v>360</v>
      </c>
      <c r="I54" s="26" t="s">
        <v>829</v>
      </c>
      <c r="M54" s="26" t="s">
        <v>803</v>
      </c>
      <c r="N54" s="26" t="s">
        <v>75</v>
      </c>
      <c r="O54" s="26" t="s">
        <v>810</v>
      </c>
      <c r="P54" s="26" t="s">
        <v>827</v>
      </c>
      <c r="Q54" s="26" t="s">
        <v>33</v>
      </c>
    </row>
    <row r="55" spans="1:17" ht="14.4" customHeight="1" x14ac:dyDescent="0.3">
      <c r="A55" s="13">
        <v>49</v>
      </c>
      <c r="B55" s="8" t="str" cm="1">
        <f t="array" ref="B55">TranslateToLiteral(A55,0)</f>
        <v>[r,q]-[l,j,y]</v>
      </c>
      <c r="C55" s="9" t="s">
        <v>405</v>
      </c>
      <c r="D55" s="8" t="s">
        <v>1052</v>
      </c>
      <c r="E55" s="8" t="s">
        <v>1053</v>
      </c>
      <c r="F55" s="8"/>
      <c r="G55" s="8" t="str">
        <f>var\Pictures&amp;tab\PAO.pl[[#This Row],[Code]]&amp;".png"</f>
        <v>C:\Downloads\Project_PAO\pictures\49.png</v>
      </c>
      <c r="H55" s="26" t="s">
        <v>360</v>
      </c>
      <c r="I55" s="26" t="s">
        <v>829</v>
      </c>
      <c r="M55" s="26" t="s">
        <v>804</v>
      </c>
      <c r="N55" s="26" t="s">
        <v>75</v>
      </c>
      <c r="O55" s="26" t="s">
        <v>330</v>
      </c>
      <c r="P55" s="26" t="s">
        <v>74</v>
      </c>
    </row>
    <row r="56" spans="1:17" ht="14.4" customHeight="1" x14ac:dyDescent="0.3">
      <c r="A56" s="13">
        <v>50</v>
      </c>
      <c r="B56" s="8" t="str" cm="1">
        <f t="array" ref="B56">TranslateToLiteral(A56,0)</f>
        <v>[v,w,u]-[s,z,o]</v>
      </c>
      <c r="C56" s="9" t="s">
        <v>320</v>
      </c>
      <c r="D56" s="8" t="s">
        <v>1054</v>
      </c>
      <c r="E56" s="2" t="s">
        <v>1055</v>
      </c>
      <c r="F56" s="2"/>
      <c r="G56" s="2" t="str">
        <f>var\Pictures&amp;tab\PAO.pl[[#This Row],[Code]]&amp;".png"</f>
        <v>C:\Downloads\Project_PAO\pictures\50.png</v>
      </c>
      <c r="H56" s="26" t="s">
        <v>357</v>
      </c>
      <c r="I56" s="26" t="s">
        <v>829</v>
      </c>
      <c r="J56" s="26" t="s">
        <v>33</v>
      </c>
      <c r="M56" s="26" t="s">
        <v>832</v>
      </c>
      <c r="N56" s="26" t="s">
        <v>75</v>
      </c>
      <c r="O56" s="26" t="s">
        <v>813</v>
      </c>
      <c r="P56" s="26" t="s">
        <v>74</v>
      </c>
    </row>
    <row r="57" spans="1:17" ht="14.4" customHeight="1" x14ac:dyDescent="0.3">
      <c r="A57" s="13">
        <v>51</v>
      </c>
      <c r="B57" s="8" t="str" cm="1">
        <f t="array" ref="B57">TranslateToLiteral(A57,0)</f>
        <v>[v,w,u]-[t,d,a]</v>
      </c>
      <c r="C57" s="9" t="s">
        <v>886</v>
      </c>
      <c r="D57" s="8" t="s">
        <v>1056</v>
      </c>
      <c r="E57" s="8" t="s">
        <v>1057</v>
      </c>
      <c r="F57" s="8"/>
      <c r="G57" s="8" t="str">
        <f>var\Pictures&amp;tab\PAO.pl[[#This Row],[Code]]&amp;".png"</f>
        <v>C:\Downloads\Project_PAO\pictures\51.png</v>
      </c>
      <c r="H57" s="26" t="s">
        <v>357</v>
      </c>
      <c r="I57" s="26" t="s">
        <v>829</v>
      </c>
      <c r="J57" s="26" t="s">
        <v>33</v>
      </c>
      <c r="M57" s="26" t="s">
        <v>805</v>
      </c>
      <c r="N57" s="26" t="s">
        <v>75</v>
      </c>
      <c r="O57" s="26" t="s">
        <v>812</v>
      </c>
      <c r="P57" s="26" t="s">
        <v>827</v>
      </c>
    </row>
    <row r="58" spans="1:17" ht="14.4" customHeight="1" x14ac:dyDescent="0.3">
      <c r="A58" s="13">
        <v>52</v>
      </c>
      <c r="B58" s="8" t="str" cm="1">
        <f t="array" ref="B58">TranslateToLiteral(A58,0)</f>
        <v>[v,w,u]-[n,m]</v>
      </c>
      <c r="C58" s="9" t="s">
        <v>148</v>
      </c>
      <c r="D58" s="8" t="s">
        <v>1058</v>
      </c>
      <c r="E58" s="8" t="s">
        <v>1059</v>
      </c>
      <c r="F58" s="8"/>
      <c r="G58" s="8" t="str">
        <f>var\Pictures&amp;tab\PAO.pl[[#This Row],[Code]]&amp;".png"</f>
        <v>C:\Downloads\Project_PAO\pictures\52.png</v>
      </c>
      <c r="H58" s="26" t="s">
        <v>357</v>
      </c>
      <c r="I58" s="26" t="s">
        <v>829</v>
      </c>
      <c r="L58" s="26" t="s">
        <v>33</v>
      </c>
      <c r="M58" s="26" t="s">
        <v>832</v>
      </c>
      <c r="N58" s="26" t="s">
        <v>75</v>
      </c>
      <c r="O58" s="26" t="s">
        <v>330</v>
      </c>
      <c r="P58" s="26" t="s">
        <v>827</v>
      </c>
      <c r="Q58" s="26" t="s">
        <v>33</v>
      </c>
    </row>
    <row r="59" spans="1:17" ht="14.4" customHeight="1" x14ac:dyDescent="0.3">
      <c r="A59" s="13">
        <v>53</v>
      </c>
      <c r="B59" s="8" t="str" cm="1">
        <f t="array" ref="B59">TranslateToLiteral(A59,0)</f>
        <v>[v,w,u]-[f,g,e]</v>
      </c>
      <c r="C59" s="8" t="s">
        <v>487</v>
      </c>
      <c r="D59" s="9" t="s">
        <v>1060</v>
      </c>
      <c r="E59" s="8" t="s">
        <v>1061</v>
      </c>
      <c r="F59" s="8" t="s">
        <v>1062</v>
      </c>
      <c r="G59" s="8" t="str">
        <f>var\Pictures&amp;tab\PAO.pl[[#This Row],[Code]]&amp;".png"</f>
        <v>C:\Downloads\Project_PAO\pictures\53.png</v>
      </c>
      <c r="H59" s="26" t="s">
        <v>357</v>
      </c>
      <c r="I59" s="26" t="s">
        <v>829</v>
      </c>
      <c r="K59" s="26" t="s">
        <v>33</v>
      </c>
      <c r="M59" s="26" t="s">
        <v>832</v>
      </c>
      <c r="N59" s="26" t="s">
        <v>75</v>
      </c>
      <c r="O59" s="26" t="s">
        <v>841</v>
      </c>
      <c r="P59" s="26" t="s">
        <v>74</v>
      </c>
      <c r="Q59" s="26" t="s">
        <v>33</v>
      </c>
    </row>
    <row r="60" spans="1:17" ht="14.4" customHeight="1" x14ac:dyDescent="0.3">
      <c r="A60" s="13">
        <v>54</v>
      </c>
      <c r="B60" s="8" t="str" cm="1">
        <f t="array" ref="B60">TranslateToLiteral(A60,0)</f>
        <v>[v,w,u]-[r,q]</v>
      </c>
      <c r="C60" s="9" t="s">
        <v>298</v>
      </c>
      <c r="D60" s="2" t="s">
        <v>1063</v>
      </c>
      <c r="E60" s="2" t="s">
        <v>1064</v>
      </c>
      <c r="F60" s="2" t="s">
        <v>1065</v>
      </c>
      <c r="G60" s="2" t="str">
        <f>var\Pictures&amp;tab\PAO.pl[[#This Row],[Code]]&amp;".png"</f>
        <v>C:\Downloads\Project_PAO\pictures\54.png</v>
      </c>
      <c r="H60" s="26" t="s">
        <v>357</v>
      </c>
      <c r="I60" s="26" t="s">
        <v>829</v>
      </c>
      <c r="J60" s="26" t="s">
        <v>33</v>
      </c>
      <c r="M60" s="26" t="s">
        <v>832</v>
      </c>
      <c r="N60" s="26" t="s">
        <v>75</v>
      </c>
      <c r="O60" s="26" t="s">
        <v>814</v>
      </c>
      <c r="P60" s="26" t="s">
        <v>827</v>
      </c>
      <c r="Q60" s="26" t="s">
        <v>33</v>
      </c>
    </row>
    <row r="61" spans="1:17" ht="14.4" customHeight="1" x14ac:dyDescent="0.3">
      <c r="A61" s="13">
        <v>55</v>
      </c>
      <c r="B61" s="8" t="str" cm="1">
        <f t="array" ref="B61">TranslateToLiteral(A61,0)</f>
        <v>[v,w,u]-[v,w,u]</v>
      </c>
      <c r="C61" s="9" t="s">
        <v>446</v>
      </c>
      <c r="D61" s="8" t="s">
        <v>1066</v>
      </c>
      <c r="E61" s="8" t="s">
        <v>1067</v>
      </c>
      <c r="F61" s="8"/>
      <c r="G61" s="8" t="str">
        <f>var\Pictures&amp;tab\PAO.pl[[#This Row],[Code]]&amp;".png"</f>
        <v>C:\Downloads\Project_PAO\pictures\55.png</v>
      </c>
      <c r="H61" s="26" t="s">
        <v>357</v>
      </c>
      <c r="I61" s="26" t="s">
        <v>829</v>
      </c>
      <c r="J61" s="26" t="s">
        <v>33</v>
      </c>
      <c r="M61" s="26" t="s">
        <v>803</v>
      </c>
      <c r="N61" s="26" t="s">
        <v>75</v>
      </c>
      <c r="O61" s="26" t="s">
        <v>811</v>
      </c>
      <c r="P61" s="26" t="s">
        <v>827</v>
      </c>
    </row>
    <row r="62" spans="1:17" ht="14.4" customHeight="1" x14ac:dyDescent="0.3">
      <c r="A62" s="13">
        <v>56</v>
      </c>
      <c r="B62" s="8" t="str" cm="1">
        <f t="array" ref="B62">TranslateToLiteral(A62,0)</f>
        <v>[v,w,u]-[h,x]</v>
      </c>
      <c r="C62" s="9" t="s">
        <v>375</v>
      </c>
      <c r="D62" s="9" t="s">
        <v>1068</v>
      </c>
      <c r="E62" s="8" t="s">
        <v>1069</v>
      </c>
      <c r="F62" s="8"/>
      <c r="G62" s="8" t="str">
        <f>var\Pictures&amp;tab\PAO.pl[[#This Row],[Code]]&amp;".png"</f>
        <v>C:\Downloads\Project_PAO\pictures\56.png</v>
      </c>
      <c r="H62" s="26" t="s">
        <v>357</v>
      </c>
      <c r="I62" s="26" t="s">
        <v>829</v>
      </c>
      <c r="M62" s="26" t="s">
        <v>839</v>
      </c>
      <c r="N62" s="26" t="s">
        <v>75</v>
      </c>
      <c r="O62" s="26" t="s">
        <v>809</v>
      </c>
      <c r="P62" s="26" t="s">
        <v>827</v>
      </c>
    </row>
    <row r="63" spans="1:17" ht="14.4" customHeight="1" x14ac:dyDescent="0.3">
      <c r="A63" s="13">
        <v>57</v>
      </c>
      <c r="B63" s="8" t="str" cm="1">
        <f t="array" ref="B63">TranslateToLiteral(A63,0)</f>
        <v>[v,w,u]-[c,k,i]</v>
      </c>
      <c r="C63" s="9" t="s">
        <v>355</v>
      </c>
      <c r="D63" s="14" t="s">
        <v>1070</v>
      </c>
      <c r="E63" s="8" t="s">
        <v>1071</v>
      </c>
      <c r="F63" s="8"/>
      <c r="G63" s="8" t="str">
        <f>var\Pictures&amp;tab\PAO.pl[[#This Row],[Code]]&amp;".png"</f>
        <v>C:\Downloads\Project_PAO\pictures\57.png</v>
      </c>
      <c r="H63" s="26" t="s">
        <v>357</v>
      </c>
      <c r="I63" s="26" t="s">
        <v>829</v>
      </c>
      <c r="K63" s="26" t="s">
        <v>33</v>
      </c>
      <c r="M63" s="26" t="s">
        <v>801</v>
      </c>
      <c r="N63" s="26" t="s">
        <v>75</v>
      </c>
      <c r="O63" s="26" t="s">
        <v>810</v>
      </c>
      <c r="P63" s="26" t="s">
        <v>827</v>
      </c>
    </row>
    <row r="64" spans="1:17" ht="14.4" customHeight="1" x14ac:dyDescent="0.3">
      <c r="A64" s="13">
        <v>58</v>
      </c>
      <c r="B64" s="8" t="str" cm="1">
        <f t="array" ref="B64">TranslateToLiteral(A64,0)</f>
        <v>[v,w,u]-[p,b]</v>
      </c>
      <c r="C64" s="9" t="s">
        <v>163</v>
      </c>
      <c r="D64" s="9" t="s">
        <v>452</v>
      </c>
      <c r="E64" s="8" t="s">
        <v>1072</v>
      </c>
      <c r="F64" s="8"/>
      <c r="G64" s="8" t="str">
        <f>var\Pictures&amp;tab\PAO.pl[[#This Row],[Code]]&amp;".png"</f>
        <v>C:\Downloads\Project_PAO\pictures\58.png</v>
      </c>
      <c r="H64" s="26" t="s">
        <v>357</v>
      </c>
      <c r="I64" s="26" t="s">
        <v>829</v>
      </c>
      <c r="K64" s="26" t="s">
        <v>33</v>
      </c>
      <c r="M64" s="26" t="s">
        <v>815</v>
      </c>
      <c r="N64" s="26" t="s">
        <v>75</v>
      </c>
      <c r="O64" s="26" t="s">
        <v>330</v>
      </c>
      <c r="P64" s="26" t="s">
        <v>74</v>
      </c>
    </row>
    <row r="65" spans="1:17" ht="14.4" customHeight="1" x14ac:dyDescent="0.3">
      <c r="A65" s="13">
        <v>59</v>
      </c>
      <c r="B65" s="8" t="str" cm="1">
        <f t="array" ref="B65">TranslateToLiteral(A65,0)</f>
        <v>[v,w,u]-[l,j,y]</v>
      </c>
      <c r="C65" s="9" t="s">
        <v>218</v>
      </c>
      <c r="D65" s="8" t="s">
        <v>1073</v>
      </c>
      <c r="E65" s="8" t="s">
        <v>1074</v>
      </c>
      <c r="F65" s="8"/>
      <c r="G65" s="8" t="str">
        <f>var\Pictures&amp;tab\PAO.pl[[#This Row],[Code]]&amp;".png"</f>
        <v>C:\Downloads\Project_PAO\pictures\59.png</v>
      </c>
      <c r="H65" s="26" t="s">
        <v>357</v>
      </c>
      <c r="I65" s="26" t="s">
        <v>829</v>
      </c>
      <c r="J65" s="26" t="s">
        <v>33</v>
      </c>
      <c r="M65" s="26" t="s">
        <v>807</v>
      </c>
      <c r="N65" s="26" t="s">
        <v>75</v>
      </c>
      <c r="O65" s="26" t="s">
        <v>330</v>
      </c>
      <c r="P65" s="26" t="s">
        <v>827</v>
      </c>
    </row>
    <row r="66" spans="1:17" ht="14.4" customHeight="1" x14ac:dyDescent="0.3">
      <c r="A66" s="13">
        <v>60</v>
      </c>
      <c r="B66" s="8" t="str" cm="1">
        <f t="array" ref="B66">TranslateToLiteral(A66,0)</f>
        <v>[h,x]-[s,z,o]</v>
      </c>
      <c r="C66" s="9" t="s">
        <v>376</v>
      </c>
      <c r="D66" s="8" t="s">
        <v>1075</v>
      </c>
      <c r="E66" s="2" t="s">
        <v>1076</v>
      </c>
      <c r="F66" s="2"/>
      <c r="G66" s="2" t="str">
        <f>var\Pictures&amp;tab\PAO.pl[[#This Row],[Code]]&amp;".png"</f>
        <v>C:\Downloads\Project_PAO\pictures\60.png</v>
      </c>
      <c r="H66" s="26" t="s">
        <v>353</v>
      </c>
      <c r="I66" s="26" t="s">
        <v>829</v>
      </c>
      <c r="M66" s="26" t="s">
        <v>801</v>
      </c>
      <c r="N66" s="26" t="s">
        <v>75</v>
      </c>
      <c r="O66" s="26" t="s">
        <v>811</v>
      </c>
      <c r="P66" s="26" t="s">
        <v>74</v>
      </c>
    </row>
    <row r="67" spans="1:17" ht="14.4" customHeight="1" x14ac:dyDescent="0.3">
      <c r="A67" s="13">
        <v>61</v>
      </c>
      <c r="B67" s="8" t="str" cm="1">
        <f t="array" ref="B67">TranslateToLiteral(A67,0)</f>
        <v>[h,x]-[t,d,a]</v>
      </c>
      <c r="C67" s="9" t="s">
        <v>378</v>
      </c>
      <c r="D67" s="2" t="s">
        <v>1077</v>
      </c>
      <c r="E67" s="2" t="s">
        <v>1078</v>
      </c>
      <c r="F67" s="2"/>
      <c r="G67" s="2" t="str">
        <f>var\Pictures&amp;tab\PAO.pl[[#This Row],[Code]]&amp;".png"</f>
        <v>C:\Downloads\Project_PAO\pictures\61.png</v>
      </c>
      <c r="H67" s="26" t="s">
        <v>353</v>
      </c>
      <c r="I67" s="26" t="s">
        <v>829</v>
      </c>
      <c r="M67" s="26" t="s">
        <v>801</v>
      </c>
      <c r="N67" s="26" t="s">
        <v>75</v>
      </c>
      <c r="O67" s="26" t="s">
        <v>808</v>
      </c>
      <c r="P67" s="26" t="s">
        <v>74</v>
      </c>
    </row>
    <row r="68" spans="1:17" ht="14.4" customHeight="1" x14ac:dyDescent="0.3">
      <c r="A68" s="13">
        <v>62</v>
      </c>
      <c r="B68" s="8" t="str" cm="1">
        <f t="array" ref="B68">TranslateToLiteral(A68,0)</f>
        <v>[h,x]-[n,m]</v>
      </c>
      <c r="C68" s="9" t="s">
        <v>150</v>
      </c>
      <c r="D68" s="8" t="s">
        <v>1079</v>
      </c>
      <c r="E68" s="8" t="s">
        <v>1080</v>
      </c>
      <c r="F68" s="8"/>
      <c r="G68" s="8" t="str">
        <f>var\Pictures&amp;tab\PAO.pl[[#This Row],[Code]]&amp;".png"</f>
        <v>C:\Downloads\Project_PAO\pictures\62.png</v>
      </c>
      <c r="H68" s="26" t="s">
        <v>353</v>
      </c>
      <c r="I68" s="26" t="s">
        <v>829</v>
      </c>
      <c r="M68" s="26" t="s">
        <v>805</v>
      </c>
      <c r="N68" s="26" t="s">
        <v>75</v>
      </c>
      <c r="O68" s="26" t="s">
        <v>330</v>
      </c>
      <c r="P68" s="26" t="s">
        <v>74</v>
      </c>
    </row>
    <row r="69" spans="1:17" ht="14.4" customHeight="1" x14ac:dyDescent="0.3">
      <c r="A69" s="13">
        <v>63</v>
      </c>
      <c r="B69" s="8" t="str" cm="1">
        <f t="array" ref="B69">TranslateToLiteral(A69,0)</f>
        <v>[h,x]-[f,g,e]</v>
      </c>
      <c r="C69" s="8" t="s">
        <v>424</v>
      </c>
      <c r="D69" s="2" t="s">
        <v>1081</v>
      </c>
      <c r="E69" s="2" t="s">
        <v>1082</v>
      </c>
      <c r="F69" s="2" t="s">
        <v>1083</v>
      </c>
      <c r="G69" s="2" t="str">
        <f>var\Pictures&amp;tab\PAO.pl[[#This Row],[Code]]&amp;".png"</f>
        <v>C:\Downloads\Project_PAO\pictures\63.png</v>
      </c>
      <c r="H69" s="26" t="s">
        <v>353</v>
      </c>
      <c r="I69" s="26" t="s">
        <v>829</v>
      </c>
      <c r="M69" s="26" t="s">
        <v>801</v>
      </c>
      <c r="N69" s="26" t="s">
        <v>75</v>
      </c>
      <c r="O69" s="26" t="s">
        <v>814</v>
      </c>
      <c r="P69" s="26" t="s">
        <v>74</v>
      </c>
      <c r="Q69" s="26" t="s">
        <v>33</v>
      </c>
    </row>
    <row r="70" spans="1:17" ht="14.4" customHeight="1" x14ac:dyDescent="0.3">
      <c r="A70" s="13">
        <v>64</v>
      </c>
      <c r="B70" s="8" t="str" cm="1">
        <f t="array" ref="B70">TranslateToLiteral(A70,0)</f>
        <v>[h,x]-[r,q]</v>
      </c>
      <c r="C70" s="9" t="s">
        <v>422</v>
      </c>
      <c r="D70" s="2" t="s">
        <v>1084</v>
      </c>
      <c r="E70" s="2" t="s">
        <v>1085</v>
      </c>
      <c r="F70" s="2" t="s">
        <v>1086</v>
      </c>
      <c r="G70" s="2" t="str">
        <f>var\Pictures&amp;tab\PAO.pl[[#This Row],[Code]]&amp;".png"</f>
        <v>C:\Downloads\Project_PAO\pictures\64.png</v>
      </c>
      <c r="H70" s="26" t="s">
        <v>353</v>
      </c>
      <c r="I70" s="26" t="s">
        <v>829</v>
      </c>
      <c r="M70" s="26" t="s">
        <v>800</v>
      </c>
      <c r="N70" s="26" t="s">
        <v>75</v>
      </c>
      <c r="O70" s="26" t="s">
        <v>814</v>
      </c>
      <c r="P70" s="26" t="s">
        <v>74</v>
      </c>
      <c r="Q70" s="26" t="s">
        <v>33</v>
      </c>
    </row>
    <row r="71" spans="1:17" ht="14.4" customHeight="1" x14ac:dyDescent="0.3">
      <c r="A71" s="13">
        <v>65</v>
      </c>
      <c r="B71" s="8" t="str" cm="1">
        <f t="array" ref="B71">TranslateToLiteral(A71,0)</f>
        <v>[h,x]-[v,w,u]</v>
      </c>
      <c r="C71" s="8" t="s">
        <v>340</v>
      </c>
      <c r="D71" s="8" t="s">
        <v>1087</v>
      </c>
      <c r="E71" s="8" t="s">
        <v>1088</v>
      </c>
      <c r="F71" s="8" t="s">
        <v>1089</v>
      </c>
      <c r="G71" s="8" t="str">
        <f>var\Pictures&amp;tab\PAO.pl[[#This Row],[Code]]&amp;".png"</f>
        <v>C:\Downloads\Project_PAO\pictures\65.png</v>
      </c>
      <c r="H71" s="26" t="s">
        <v>353</v>
      </c>
      <c r="I71" s="26" t="s">
        <v>829</v>
      </c>
      <c r="M71" s="26" t="s">
        <v>840</v>
      </c>
      <c r="N71" s="26" t="s">
        <v>75</v>
      </c>
      <c r="O71" s="26" t="s">
        <v>814</v>
      </c>
      <c r="P71" s="26" t="s">
        <v>74</v>
      </c>
      <c r="Q71" s="26" t="s">
        <v>33</v>
      </c>
    </row>
    <row r="72" spans="1:17" ht="14.4" customHeight="1" x14ac:dyDescent="0.3">
      <c r="A72" s="13">
        <v>66</v>
      </c>
      <c r="B72" s="8" t="str" cm="1">
        <f t="array" ref="B72">TranslateToLiteral(A72,0)</f>
        <v>[h,x]-[h,x]</v>
      </c>
      <c r="C72" s="9" t="s">
        <v>381</v>
      </c>
      <c r="D72" s="2" t="s">
        <v>1090</v>
      </c>
      <c r="E72" s="2" t="s">
        <v>1091</v>
      </c>
      <c r="F72" s="2"/>
      <c r="G72" s="2" t="str">
        <f>var\Pictures&amp;tab\PAO.pl[[#This Row],[Code]]&amp;".png"</f>
        <v>C:\Downloads\Project_PAO\pictures\66.png</v>
      </c>
      <c r="H72" s="26" t="s">
        <v>353</v>
      </c>
      <c r="I72" s="26" t="s">
        <v>829</v>
      </c>
      <c r="M72" s="26" t="s">
        <v>815</v>
      </c>
      <c r="N72" s="26" t="s">
        <v>75</v>
      </c>
      <c r="O72" s="26" t="s">
        <v>811</v>
      </c>
      <c r="P72" s="26" t="s">
        <v>74</v>
      </c>
    </row>
    <row r="73" spans="1:17" ht="14.4" customHeight="1" x14ac:dyDescent="0.3">
      <c r="A73" s="13">
        <v>67</v>
      </c>
      <c r="B73" s="8" t="str" cm="1">
        <f t="array" ref="B73">TranslateToLiteral(A73,0)</f>
        <v>[h,x]-[c,k,i]</v>
      </c>
      <c r="C73" s="9" t="s">
        <v>379</v>
      </c>
      <c r="D73" s="2" t="s">
        <v>1092</v>
      </c>
      <c r="E73" s="2" t="s">
        <v>1072</v>
      </c>
      <c r="F73" s="2"/>
      <c r="G73" s="2" t="str">
        <f>var\Pictures&amp;tab\PAO.pl[[#This Row],[Code]]&amp;".png"</f>
        <v>C:\Downloads\Project_PAO\pictures\67.png</v>
      </c>
      <c r="H73" s="26" t="s">
        <v>353</v>
      </c>
      <c r="I73" s="26" t="s">
        <v>829</v>
      </c>
      <c r="M73" s="26" t="s">
        <v>839</v>
      </c>
      <c r="N73" s="26" t="s">
        <v>75</v>
      </c>
      <c r="O73" s="26" t="s">
        <v>808</v>
      </c>
      <c r="P73" s="26" t="s">
        <v>74</v>
      </c>
    </row>
    <row r="74" spans="1:17" ht="14.4" customHeight="1" x14ac:dyDescent="0.3">
      <c r="A74" s="13">
        <v>68</v>
      </c>
      <c r="B74" s="8" t="str" cm="1">
        <f t="array" ref="B74">TranslateToLiteral(A74,0)</f>
        <v>[h,x]-[p,b]</v>
      </c>
      <c r="C74" s="9" t="s">
        <v>164</v>
      </c>
      <c r="D74" s="2" t="s">
        <v>1093</v>
      </c>
      <c r="E74" s="2" t="s">
        <v>1094</v>
      </c>
      <c r="F74" s="2"/>
      <c r="G74" s="2" t="str">
        <f>var\Pictures&amp;tab\PAO.pl[[#This Row],[Code]]&amp;".png"</f>
        <v>C:\Downloads\Project_PAO\pictures\68.png</v>
      </c>
      <c r="H74" s="26" t="s">
        <v>353</v>
      </c>
      <c r="I74" s="26" t="s">
        <v>829</v>
      </c>
      <c r="M74" s="26" t="s">
        <v>800</v>
      </c>
      <c r="N74" s="26" t="s">
        <v>75</v>
      </c>
      <c r="O74" s="26" t="s">
        <v>812</v>
      </c>
      <c r="P74" s="26" t="s">
        <v>74</v>
      </c>
    </row>
    <row r="75" spans="1:17" ht="14.4" customHeight="1" x14ac:dyDescent="0.3">
      <c r="A75" s="13">
        <v>69</v>
      </c>
      <c r="B75" s="8" t="str" cm="1">
        <f t="array" ref="B75">TranslateToLiteral(A75,0)</f>
        <v>[h,x]-[l,j,y]</v>
      </c>
      <c r="C75" s="9" t="s">
        <v>380</v>
      </c>
      <c r="D75" s="2" t="s">
        <v>1095</v>
      </c>
      <c r="E75" s="2" t="s">
        <v>1096</v>
      </c>
      <c r="F75" s="2"/>
      <c r="G75" s="2" t="str">
        <f>var\Pictures&amp;tab\PAO.pl[[#This Row],[Code]]&amp;".png"</f>
        <v>C:\Downloads\Project_PAO\pictures\69.png</v>
      </c>
      <c r="H75" s="26" t="s">
        <v>353</v>
      </c>
      <c r="I75" s="26" t="s">
        <v>829</v>
      </c>
      <c r="M75" s="26" t="s">
        <v>807</v>
      </c>
      <c r="N75" s="26" t="s">
        <v>75</v>
      </c>
      <c r="O75" s="26" t="s">
        <v>330</v>
      </c>
      <c r="P75" s="26" t="s">
        <v>827</v>
      </c>
      <c r="Q75" s="26" t="s">
        <v>33</v>
      </c>
    </row>
    <row r="76" spans="1:17" ht="14.4" customHeight="1" x14ac:dyDescent="0.3">
      <c r="A76" s="13">
        <v>70</v>
      </c>
      <c r="B76" s="8" t="str" cm="1">
        <f t="array" ref="B76">TranslateToLiteral(A76,0)</f>
        <v>[c,k,i]-[s,z,o]</v>
      </c>
      <c r="C76" s="9" t="s">
        <v>510</v>
      </c>
      <c r="D76" s="9" t="s">
        <v>1097</v>
      </c>
      <c r="E76" s="8" t="s">
        <v>1098</v>
      </c>
      <c r="F76" s="8" t="s">
        <v>1099</v>
      </c>
      <c r="G76" s="8" t="str">
        <f>var\Pictures&amp;tab\PAO.pl[[#This Row],[Code]]&amp;".png"</f>
        <v>C:\Downloads\Project_PAO\pictures\70.png</v>
      </c>
      <c r="H76" s="26" t="s">
        <v>358</v>
      </c>
      <c r="I76" s="26" t="s">
        <v>829</v>
      </c>
      <c r="M76" s="26" t="s">
        <v>805</v>
      </c>
      <c r="N76" s="26" t="s">
        <v>75</v>
      </c>
      <c r="O76" s="26" t="s">
        <v>810</v>
      </c>
      <c r="P76" s="26" t="s">
        <v>74</v>
      </c>
      <c r="Q76" s="26" t="s">
        <v>33</v>
      </c>
    </row>
    <row r="77" spans="1:17" ht="14.4" customHeight="1" x14ac:dyDescent="0.3">
      <c r="A77" s="13">
        <v>71</v>
      </c>
      <c r="B77" s="8" t="str" cm="1">
        <f t="array" ref="B77">TranslateToLiteral(A77,0)</f>
        <v>[c,k,i]-[t,d,a]</v>
      </c>
      <c r="C77" s="8" t="s">
        <v>141</v>
      </c>
      <c r="D77" s="8" t="s">
        <v>1100</v>
      </c>
      <c r="E77" s="8" t="s">
        <v>1101</v>
      </c>
      <c r="F77" s="8"/>
      <c r="G77" s="8" t="str">
        <f>var\Pictures&amp;tab\PAO.pl[[#This Row],[Code]]&amp;".png"</f>
        <v>C:\Downloads\Project_PAO\pictures\71.png</v>
      </c>
      <c r="H77" s="26" t="s">
        <v>358</v>
      </c>
      <c r="I77" s="26" t="s">
        <v>829</v>
      </c>
      <c r="M77" s="26" t="s">
        <v>806</v>
      </c>
      <c r="N77" s="26" t="s">
        <v>75</v>
      </c>
      <c r="O77" s="26" t="s">
        <v>810</v>
      </c>
      <c r="P77" s="26" t="s">
        <v>827</v>
      </c>
    </row>
    <row r="78" spans="1:17" ht="14.4" customHeight="1" x14ac:dyDescent="0.3">
      <c r="A78" s="13">
        <v>72</v>
      </c>
      <c r="B78" s="8" t="str" cm="1">
        <f t="array" ref="B78">TranslateToLiteral(A78,0)</f>
        <v>[c,k,i]-[n,m]</v>
      </c>
      <c r="C78" s="9" t="s">
        <v>464</v>
      </c>
      <c r="D78" s="8" t="s">
        <v>1102</v>
      </c>
      <c r="E78" s="8" t="s">
        <v>1103</v>
      </c>
      <c r="F78" s="8"/>
      <c r="G78" s="8" t="str">
        <f>var\Pictures&amp;tab\PAO.pl[[#This Row],[Code]]&amp;".png"</f>
        <v>C:\Downloads\Project_PAO\pictures\72.png</v>
      </c>
      <c r="H78" s="26" t="s">
        <v>358</v>
      </c>
      <c r="I78" s="26" t="s">
        <v>829</v>
      </c>
      <c r="M78" s="26" t="s">
        <v>838</v>
      </c>
      <c r="N78" s="26" t="s">
        <v>75</v>
      </c>
      <c r="O78" s="26" t="s">
        <v>330</v>
      </c>
      <c r="P78" s="26" t="s">
        <v>74</v>
      </c>
    </row>
    <row r="79" spans="1:17" ht="14.4" customHeight="1" x14ac:dyDescent="0.3">
      <c r="A79" s="13">
        <v>73</v>
      </c>
      <c r="B79" s="8" t="str" cm="1">
        <f t="array" ref="B79">TranslateToLiteral(A79,0)</f>
        <v>[c,k,i]-[f,g,e]</v>
      </c>
      <c r="C79" s="9" t="s">
        <v>382</v>
      </c>
      <c r="D79" s="2" t="s">
        <v>1104</v>
      </c>
      <c r="E79" s="8" t="s">
        <v>1105</v>
      </c>
      <c r="F79" s="8"/>
      <c r="G79" s="8" t="str">
        <f>var\Pictures&amp;tab\PAO.pl[[#This Row],[Code]]&amp;".png"</f>
        <v>C:\Downloads\Project_PAO\pictures\73.png</v>
      </c>
      <c r="H79" s="26" t="s">
        <v>358</v>
      </c>
      <c r="I79" s="26" t="s">
        <v>829</v>
      </c>
      <c r="M79" s="26" t="s">
        <v>832</v>
      </c>
      <c r="N79" s="26" t="s">
        <v>75</v>
      </c>
      <c r="O79" s="26" t="s">
        <v>814</v>
      </c>
      <c r="P79" s="26" t="s">
        <v>74</v>
      </c>
    </row>
    <row r="80" spans="1:17" ht="14.4" customHeight="1" x14ac:dyDescent="0.3">
      <c r="A80" s="13">
        <v>74</v>
      </c>
      <c r="B80" s="8" t="str" cm="1">
        <f t="array" ref="B80">TranslateToLiteral(A80,0)</f>
        <v>[c,k,i]-[r,q]</v>
      </c>
      <c r="C80" s="9" t="s">
        <v>399</v>
      </c>
      <c r="D80" s="2" t="s">
        <v>1106</v>
      </c>
      <c r="E80" s="2" t="s">
        <v>1107</v>
      </c>
      <c r="F80" s="2"/>
      <c r="G80" s="2" t="str">
        <f>var\Pictures&amp;tab\PAO.pl[[#This Row],[Code]]&amp;".png"</f>
        <v>C:\Downloads\Project_PAO\pictures\74.png</v>
      </c>
      <c r="H80" s="26" t="s">
        <v>358</v>
      </c>
      <c r="I80" s="26" t="s">
        <v>829</v>
      </c>
      <c r="M80" s="26" t="s">
        <v>802</v>
      </c>
      <c r="N80" s="26" t="s">
        <v>75</v>
      </c>
      <c r="O80" s="26" t="s">
        <v>330</v>
      </c>
      <c r="P80" s="26" t="s">
        <v>74</v>
      </c>
    </row>
    <row r="81" spans="1:17" ht="14.4" customHeight="1" x14ac:dyDescent="0.3">
      <c r="A81" s="13">
        <v>75</v>
      </c>
      <c r="B81" s="8" t="str" cm="1">
        <f t="array" ref="B81">TranslateToLiteral(A81,0)</f>
        <v>[c,k,i]-[v,w,u]</v>
      </c>
      <c r="C81" s="9" t="s">
        <v>394</v>
      </c>
      <c r="D81" s="2" t="s">
        <v>1108</v>
      </c>
      <c r="E81" s="8" t="s">
        <v>1109</v>
      </c>
      <c r="F81" s="8" t="s">
        <v>1110</v>
      </c>
      <c r="G81" s="8" t="str">
        <f>var\Pictures&amp;tab\PAO.pl[[#This Row],[Code]]&amp;".png"</f>
        <v>C:\Downloads\Project_PAO\pictures\75.png</v>
      </c>
      <c r="H81" s="26" t="s">
        <v>358</v>
      </c>
      <c r="I81" s="26" t="s">
        <v>829</v>
      </c>
      <c r="M81" s="26" t="s">
        <v>815</v>
      </c>
      <c r="N81" s="26" t="s">
        <v>75</v>
      </c>
      <c r="O81" s="26" t="s">
        <v>814</v>
      </c>
      <c r="P81" s="26" t="s">
        <v>74</v>
      </c>
      <c r="Q81" s="26" t="s">
        <v>33</v>
      </c>
    </row>
    <row r="82" spans="1:17" ht="14.4" customHeight="1" x14ac:dyDescent="0.3">
      <c r="A82" s="13">
        <v>76</v>
      </c>
      <c r="B82" s="8" t="str" cm="1">
        <f t="array" ref="B82">TranslateToLiteral(A82,0)</f>
        <v>[c,k,i]-[h,x]</v>
      </c>
      <c r="C82" s="9" t="s">
        <v>417</v>
      </c>
      <c r="D82" s="8" t="s">
        <v>1111</v>
      </c>
      <c r="E82" s="2" t="s">
        <v>1112</v>
      </c>
      <c r="F82" s="2" t="s">
        <v>1113</v>
      </c>
      <c r="G82" s="2" t="str">
        <f>var\Pictures&amp;tab\PAO.pl[[#This Row],[Code]]&amp;".png"</f>
        <v>C:\Downloads\Project_PAO\pictures\76.png</v>
      </c>
      <c r="H82" s="26" t="s">
        <v>358</v>
      </c>
      <c r="I82" s="26" t="s">
        <v>829</v>
      </c>
      <c r="M82" s="26" t="s">
        <v>836</v>
      </c>
      <c r="N82" s="26" t="s">
        <v>75</v>
      </c>
      <c r="O82" s="26" t="s">
        <v>814</v>
      </c>
      <c r="P82" s="26" t="s">
        <v>74</v>
      </c>
      <c r="Q82" s="26" t="s">
        <v>33</v>
      </c>
    </row>
    <row r="83" spans="1:17" ht="14.4" customHeight="1" x14ac:dyDescent="0.3">
      <c r="A83" s="13">
        <v>77</v>
      </c>
      <c r="B83" s="8" t="str" cm="1">
        <f t="array" ref="B83">TranslateToLiteral(A83,0)</f>
        <v>[c,k,i]-[c,k,i]</v>
      </c>
      <c r="C83" s="9" t="s">
        <v>540</v>
      </c>
      <c r="D83" s="9" t="s">
        <v>1114</v>
      </c>
      <c r="E83" s="8" t="s">
        <v>1115</v>
      </c>
      <c r="F83" s="8"/>
      <c r="G83" s="8" t="str">
        <f>var\Pictures&amp;tab\PAO.pl[[#This Row],[Code]]&amp;".png"</f>
        <v>C:\Downloads\Project_PAO\pictures\77.png</v>
      </c>
      <c r="H83" s="26" t="s">
        <v>358</v>
      </c>
      <c r="I83" s="26" t="s">
        <v>829</v>
      </c>
      <c r="M83" s="26" t="s">
        <v>832</v>
      </c>
      <c r="N83" s="26" t="s">
        <v>75</v>
      </c>
      <c r="O83" s="26" t="s">
        <v>810</v>
      </c>
      <c r="P83" s="26" t="s">
        <v>74</v>
      </c>
    </row>
    <row r="84" spans="1:17" ht="14.4" customHeight="1" x14ac:dyDescent="0.3">
      <c r="A84" s="13">
        <v>78</v>
      </c>
      <c r="B84" s="8" t="str" cm="1">
        <f t="array" ref="B84">TranslateToLiteral(A84,0)</f>
        <v>[c,k,i]-[p,b]</v>
      </c>
      <c r="C84" s="15" t="s">
        <v>261</v>
      </c>
      <c r="D84" s="2" t="s">
        <v>1116</v>
      </c>
      <c r="E84" s="2" t="s">
        <v>1117</v>
      </c>
      <c r="F84" s="2"/>
      <c r="G84" s="2" t="str">
        <f>var\Pictures&amp;tab\PAO.pl[[#This Row],[Code]]&amp;".png"</f>
        <v>C:\Downloads\Project_PAO\pictures\78.png</v>
      </c>
      <c r="H84" s="26" t="s">
        <v>358</v>
      </c>
      <c r="I84" s="26" t="s">
        <v>829</v>
      </c>
      <c r="J84" s="26" t="s">
        <v>33</v>
      </c>
      <c r="M84" s="26" t="s">
        <v>839</v>
      </c>
      <c r="N84" s="26" t="s">
        <v>75</v>
      </c>
      <c r="O84" s="26" t="s">
        <v>330</v>
      </c>
      <c r="P84" s="26" t="s">
        <v>74</v>
      </c>
    </row>
    <row r="85" spans="1:17" ht="14.4" customHeight="1" x14ac:dyDescent="0.3">
      <c r="A85" s="13">
        <v>79</v>
      </c>
      <c r="B85" s="8" t="str" cm="1">
        <f t="array" ref="B85">TranslateToLiteral(A85,0)</f>
        <v>[c,k,i]-[l,j,y]</v>
      </c>
      <c r="C85" s="9" t="s">
        <v>137</v>
      </c>
      <c r="D85" s="8" t="s">
        <v>407</v>
      </c>
      <c r="E85" s="8" t="s">
        <v>1118</v>
      </c>
      <c r="F85" s="8"/>
      <c r="G85" s="8" t="str">
        <f>var\Pictures&amp;tab\PAO.pl[[#This Row],[Code]]&amp;".png"</f>
        <v>C:\Downloads\Project_PAO\pictures\79.png</v>
      </c>
      <c r="H85" s="26" t="s">
        <v>358</v>
      </c>
      <c r="I85" s="26" t="s">
        <v>829</v>
      </c>
      <c r="J85" s="26" t="s">
        <v>33</v>
      </c>
      <c r="M85" s="26" t="s">
        <v>839</v>
      </c>
      <c r="N85" s="26" t="s">
        <v>75</v>
      </c>
      <c r="O85" s="26" t="s">
        <v>813</v>
      </c>
      <c r="P85" s="26" t="s">
        <v>827</v>
      </c>
    </row>
    <row r="86" spans="1:17" ht="14.4" customHeight="1" x14ac:dyDescent="0.3">
      <c r="A86" s="13">
        <v>80</v>
      </c>
      <c r="B86" s="8" t="str" cm="1">
        <f t="array" ref="B86">TranslateToLiteral(A86,0)</f>
        <v>[p,b]-[s,z,o]</v>
      </c>
      <c r="C86" s="9" t="s">
        <v>395</v>
      </c>
      <c r="D86" s="2" t="s">
        <v>1119</v>
      </c>
      <c r="E86" s="2" t="s">
        <v>1120</v>
      </c>
      <c r="F86" s="2"/>
      <c r="G86" s="2" t="str">
        <f>var\Pictures&amp;tab\PAO.pl[[#This Row],[Code]]&amp;".png"</f>
        <v>C:\Downloads\Project_PAO\pictures\80.png</v>
      </c>
      <c r="H86" s="26" t="s">
        <v>359</v>
      </c>
      <c r="I86" s="26" t="s">
        <v>829</v>
      </c>
      <c r="M86" s="26" t="s">
        <v>836</v>
      </c>
      <c r="N86" s="26" t="s">
        <v>75</v>
      </c>
      <c r="O86" s="26" t="s">
        <v>812</v>
      </c>
      <c r="P86" s="26" t="s">
        <v>74</v>
      </c>
    </row>
    <row r="87" spans="1:17" ht="14.4" customHeight="1" x14ac:dyDescent="0.3">
      <c r="A87" s="13">
        <v>81</v>
      </c>
      <c r="B87" s="8" t="str" cm="1">
        <f t="array" ref="B87">TranslateToLiteral(A87,0)</f>
        <v>[p,b]-[t,d,a]</v>
      </c>
      <c r="C87" s="9" t="s">
        <v>384</v>
      </c>
      <c r="D87" s="8" t="s">
        <v>1121</v>
      </c>
      <c r="E87" s="8" t="s">
        <v>1122</v>
      </c>
      <c r="F87" s="8"/>
      <c r="G87" s="8" t="str">
        <f>var\Pictures&amp;tab\PAO.pl[[#This Row],[Code]]&amp;".png"</f>
        <v>C:\Downloads\Project_PAO\pictures\81.png</v>
      </c>
      <c r="H87" s="26" t="s">
        <v>359</v>
      </c>
      <c r="I87" s="26" t="s">
        <v>829</v>
      </c>
      <c r="M87" s="26" t="s">
        <v>840</v>
      </c>
      <c r="N87" s="26" t="s">
        <v>75</v>
      </c>
      <c r="O87" s="26" t="s">
        <v>809</v>
      </c>
      <c r="P87" s="26" t="s">
        <v>74</v>
      </c>
    </row>
    <row r="88" spans="1:17" ht="14.4" customHeight="1" x14ac:dyDescent="0.3">
      <c r="A88" s="13">
        <v>82</v>
      </c>
      <c r="B88" s="8" t="str" cm="1">
        <f t="array" ref="B88">TranslateToLiteral(A88,0)</f>
        <v>[p,b]-[n,m]</v>
      </c>
      <c r="C88" s="9" t="s">
        <v>301</v>
      </c>
      <c r="D88" s="8" t="s">
        <v>1123</v>
      </c>
      <c r="E88" s="8" t="s">
        <v>1124</v>
      </c>
      <c r="F88" s="8" t="s">
        <v>1125</v>
      </c>
      <c r="G88" s="8" t="str">
        <f>var\Pictures&amp;tab\PAO.pl[[#This Row],[Code]]&amp;".png"</f>
        <v>C:\Downloads\Project_PAO\pictures\82.png</v>
      </c>
      <c r="H88" s="26" t="s">
        <v>359</v>
      </c>
      <c r="I88" s="26" t="s">
        <v>829</v>
      </c>
      <c r="M88" s="26" t="s">
        <v>832</v>
      </c>
      <c r="N88" s="26" t="s">
        <v>75</v>
      </c>
      <c r="O88" s="26" t="s">
        <v>810</v>
      </c>
      <c r="P88" s="26" t="s">
        <v>74</v>
      </c>
      <c r="Q88" s="26" t="s">
        <v>33</v>
      </c>
    </row>
    <row r="89" spans="1:17" ht="14.4" customHeight="1" x14ac:dyDescent="0.3">
      <c r="A89" s="13">
        <v>83</v>
      </c>
      <c r="B89" s="8" t="str" cm="1">
        <f t="array" ref="B89">TranslateToLiteral(A89,0)</f>
        <v>[p,b]-[f,g,e]</v>
      </c>
      <c r="C89" s="9" t="s">
        <v>396</v>
      </c>
      <c r="D89" s="2" t="s">
        <v>1126</v>
      </c>
      <c r="E89" s="2" t="s">
        <v>1127</v>
      </c>
      <c r="F89" s="2" t="s">
        <v>1128</v>
      </c>
      <c r="G89" s="2" t="str">
        <f>var\Pictures&amp;tab\PAO.pl[[#This Row],[Code]]&amp;".png"</f>
        <v>C:\Downloads\Project_PAO\pictures\83.png</v>
      </c>
      <c r="H89" s="26" t="s">
        <v>359</v>
      </c>
      <c r="I89" s="26" t="s">
        <v>829</v>
      </c>
      <c r="M89" s="26" t="s">
        <v>832</v>
      </c>
      <c r="N89" s="26" t="s">
        <v>75</v>
      </c>
      <c r="O89" s="26" t="s">
        <v>330</v>
      </c>
      <c r="P89" s="26" t="s">
        <v>74</v>
      </c>
    </row>
    <row r="90" spans="1:17" ht="14.4" customHeight="1" x14ac:dyDescent="0.3">
      <c r="A90" s="13">
        <v>84</v>
      </c>
      <c r="B90" s="8" t="str" cm="1">
        <f t="array" ref="B90">TranslateToLiteral(A90,0)</f>
        <v>[p,b]-[r,q]</v>
      </c>
      <c r="C90" s="9" t="s">
        <v>412</v>
      </c>
      <c r="D90" s="2" t="s">
        <v>1129</v>
      </c>
      <c r="E90" s="2" t="s">
        <v>1130</v>
      </c>
      <c r="F90" s="2"/>
      <c r="G90" s="2" t="str">
        <f>var\Pictures&amp;tab\PAO.pl[[#This Row],[Code]]&amp;".png"</f>
        <v>C:\Downloads\Project_PAO\pictures\84.png</v>
      </c>
      <c r="H90" s="26" t="s">
        <v>359</v>
      </c>
      <c r="I90" s="26" t="s">
        <v>829</v>
      </c>
      <c r="M90" s="26" t="s">
        <v>807</v>
      </c>
      <c r="N90" s="26" t="s">
        <v>75</v>
      </c>
      <c r="O90" s="26" t="s">
        <v>330</v>
      </c>
      <c r="P90" s="26" t="s">
        <v>74</v>
      </c>
    </row>
    <row r="91" spans="1:17" ht="14.4" customHeight="1" x14ac:dyDescent="0.3">
      <c r="A91" s="13">
        <v>85</v>
      </c>
      <c r="B91" s="8" t="str" cm="1">
        <f t="array" ref="B91">TranslateToLiteral(A91,0)</f>
        <v>[p,b]-[v,w,u]</v>
      </c>
      <c r="C91" s="9" t="s">
        <v>385</v>
      </c>
      <c r="D91" s="2" t="s">
        <v>1131</v>
      </c>
      <c r="E91" s="2" t="s">
        <v>1132</v>
      </c>
      <c r="F91" s="2" t="s">
        <v>1133</v>
      </c>
      <c r="G91" s="2" t="str">
        <f>var\Pictures&amp;tab\PAO.pl[[#This Row],[Code]]&amp;".png"</f>
        <v>C:\Downloads\Project_PAO\pictures\85.png</v>
      </c>
      <c r="H91" s="26" t="s">
        <v>359</v>
      </c>
      <c r="I91" s="26" t="s">
        <v>829</v>
      </c>
      <c r="M91" s="26" t="s">
        <v>832</v>
      </c>
      <c r="N91" s="26" t="s">
        <v>75</v>
      </c>
      <c r="O91" s="26" t="s">
        <v>330</v>
      </c>
      <c r="P91" s="26" t="s">
        <v>74</v>
      </c>
      <c r="Q91" s="26" t="s">
        <v>33</v>
      </c>
    </row>
    <row r="92" spans="1:17" ht="14.4" customHeight="1" x14ac:dyDescent="0.3">
      <c r="A92" s="13">
        <v>86</v>
      </c>
      <c r="B92" s="8" t="str" cm="1">
        <f t="array" ref="B92">TranslateToLiteral(A92,0)</f>
        <v>[p,b]-[h,x]</v>
      </c>
      <c r="C92" s="9" t="s">
        <v>884</v>
      </c>
      <c r="D92" s="8" t="s">
        <v>1134</v>
      </c>
      <c r="E92" s="8" t="s">
        <v>1135</v>
      </c>
      <c r="F92" s="8"/>
      <c r="G92" s="8" t="str">
        <f>var\Pictures&amp;tab\PAO.pl[[#This Row],[Code]]&amp;".png"</f>
        <v>C:\Downloads\Project_PAO\pictures\86.png</v>
      </c>
      <c r="H92" s="26" t="s">
        <v>359</v>
      </c>
      <c r="I92" s="26" t="s">
        <v>829</v>
      </c>
      <c r="M92" s="26" t="s">
        <v>805</v>
      </c>
      <c r="N92" s="26" t="s">
        <v>75</v>
      </c>
      <c r="O92" s="26" t="s">
        <v>810</v>
      </c>
      <c r="P92" s="26" t="s">
        <v>74</v>
      </c>
    </row>
    <row r="93" spans="1:17" ht="14.4" customHeight="1" x14ac:dyDescent="0.3">
      <c r="A93" s="13">
        <v>87</v>
      </c>
      <c r="B93" s="8" t="str" cm="1">
        <f t="array" ref="B93">TranslateToLiteral(A93,0)</f>
        <v>[p,b]-[c,k,i]</v>
      </c>
      <c r="C93" s="9" t="s">
        <v>401</v>
      </c>
      <c r="D93" s="2" t="s">
        <v>1136</v>
      </c>
      <c r="E93" s="2" t="s">
        <v>1137</v>
      </c>
      <c r="F93" s="2"/>
      <c r="G93" s="2" t="str">
        <f>var\Pictures&amp;tab\PAO.pl[[#This Row],[Code]]&amp;".png"</f>
        <v>C:\Downloads\Project_PAO\pictures\87.png</v>
      </c>
      <c r="H93" s="26" t="s">
        <v>359</v>
      </c>
      <c r="I93" s="26" t="s">
        <v>829</v>
      </c>
      <c r="M93" s="26" t="s">
        <v>807</v>
      </c>
      <c r="N93" s="26" t="s">
        <v>75</v>
      </c>
      <c r="O93" s="26" t="s">
        <v>812</v>
      </c>
      <c r="P93" s="26" t="s">
        <v>74</v>
      </c>
    </row>
    <row r="94" spans="1:17" ht="14.4" customHeight="1" x14ac:dyDescent="0.3">
      <c r="A94" s="13">
        <v>88</v>
      </c>
      <c r="B94" s="8" t="str" cm="1">
        <f t="array" ref="B94">TranslateToLiteral(A94,0)</f>
        <v>[p,b]-[p,b]</v>
      </c>
      <c r="C94" s="9" t="s">
        <v>187</v>
      </c>
      <c r="D94" s="2" t="s">
        <v>1138</v>
      </c>
      <c r="E94" s="2" t="s">
        <v>1139</v>
      </c>
      <c r="F94" s="2"/>
      <c r="G94" s="2" t="str">
        <f>var\Pictures&amp;tab\PAO.pl[[#This Row],[Code]]&amp;".png"</f>
        <v>C:\Downloads\Project_PAO\pictures\88.png</v>
      </c>
      <c r="H94" s="26" t="s">
        <v>359</v>
      </c>
      <c r="I94" s="26" t="s">
        <v>829</v>
      </c>
      <c r="M94" s="26" t="s">
        <v>815</v>
      </c>
      <c r="N94" s="26" t="s">
        <v>75</v>
      </c>
      <c r="O94" s="26" t="s">
        <v>810</v>
      </c>
      <c r="P94" s="26" t="s">
        <v>827</v>
      </c>
      <c r="Q94" s="26" t="s">
        <v>33</v>
      </c>
    </row>
    <row r="95" spans="1:17" ht="14.4" customHeight="1" x14ac:dyDescent="0.3">
      <c r="A95" s="13">
        <v>89</v>
      </c>
      <c r="B95" s="8" t="str" cm="1">
        <f t="array" ref="B95">TranslateToLiteral(A95,0)</f>
        <v>[p,b]-[l,j,y]</v>
      </c>
      <c r="C95" s="9" t="s">
        <v>400</v>
      </c>
      <c r="D95" s="2" t="s">
        <v>486</v>
      </c>
      <c r="E95" s="2" t="s">
        <v>1140</v>
      </c>
      <c r="F95" s="2"/>
      <c r="G95" s="2" t="str">
        <f>var\Pictures&amp;tab\PAO.pl[[#This Row],[Code]]&amp;".png"</f>
        <v>C:\Downloads\Project_PAO\pictures\89.png</v>
      </c>
      <c r="H95" s="26" t="s">
        <v>359</v>
      </c>
      <c r="I95" s="26" t="s">
        <v>829</v>
      </c>
      <c r="M95" s="26" t="s">
        <v>838</v>
      </c>
      <c r="N95" s="26" t="s">
        <v>75</v>
      </c>
      <c r="O95" s="26" t="s">
        <v>812</v>
      </c>
      <c r="P95" s="26" t="s">
        <v>827</v>
      </c>
    </row>
    <row r="96" spans="1:17" ht="14.4" customHeight="1" x14ac:dyDescent="0.3">
      <c r="A96" s="13">
        <v>90</v>
      </c>
      <c r="B96" s="8" t="str" cm="1">
        <f t="array" ref="B96">TranslateToLiteral(A96,0)</f>
        <v>[l,j,y]-[s,z,o]</v>
      </c>
      <c r="C96" s="9" t="s">
        <v>251</v>
      </c>
      <c r="D96" s="2" t="s">
        <v>1141</v>
      </c>
      <c r="E96" s="2" t="s">
        <v>1142</v>
      </c>
      <c r="F96" s="2"/>
      <c r="G96" s="2" t="str">
        <f>var\Pictures&amp;tab\PAO.pl[[#This Row],[Code]]&amp;".png"</f>
        <v>C:\Downloads\Project_PAO\pictures\90.png</v>
      </c>
      <c r="H96" s="26" t="s">
        <v>356</v>
      </c>
      <c r="I96" s="26" t="s">
        <v>829</v>
      </c>
      <c r="K96" s="26" t="s">
        <v>33</v>
      </c>
      <c r="M96" s="26" t="s">
        <v>801</v>
      </c>
      <c r="N96" s="26" t="s">
        <v>75</v>
      </c>
      <c r="O96" s="26" t="s">
        <v>811</v>
      </c>
      <c r="P96" s="26" t="s">
        <v>827</v>
      </c>
    </row>
    <row r="97" spans="1:17" ht="14.4" customHeight="1" x14ac:dyDescent="0.3">
      <c r="A97" s="13">
        <v>91</v>
      </c>
      <c r="B97" s="8" t="str" cm="1">
        <f t="array" ref="B97">TranslateToLiteral(A97,0)</f>
        <v>[l,j,y]-[t,d,a]</v>
      </c>
      <c r="C97" s="9" t="s">
        <v>476</v>
      </c>
      <c r="D97" s="2" t="s">
        <v>1143</v>
      </c>
      <c r="E97" s="2" t="s">
        <v>1144</v>
      </c>
      <c r="F97" s="2" t="s">
        <v>1145</v>
      </c>
      <c r="G97" s="2" t="str">
        <f>var\Pictures&amp;tab\PAO.pl[[#This Row],[Code]]&amp;".png"</f>
        <v>C:\Downloads\Project_PAO\pictures\91.png</v>
      </c>
      <c r="H97" s="26" t="s">
        <v>356</v>
      </c>
      <c r="I97" s="26" t="s">
        <v>829</v>
      </c>
      <c r="J97" s="26" t="s">
        <v>33</v>
      </c>
      <c r="K97" s="26" t="s">
        <v>33</v>
      </c>
      <c r="M97" s="26" t="s">
        <v>800</v>
      </c>
      <c r="N97" s="26" t="s">
        <v>75</v>
      </c>
      <c r="O97" s="26" t="s">
        <v>810</v>
      </c>
      <c r="P97" s="26" t="s">
        <v>827</v>
      </c>
      <c r="Q97" s="26" t="s">
        <v>33</v>
      </c>
    </row>
    <row r="98" spans="1:17" ht="14.4" customHeight="1" x14ac:dyDescent="0.3">
      <c r="A98" s="13">
        <v>92</v>
      </c>
      <c r="B98" s="8" t="str" cm="1">
        <f t="array" ref="B98">TranslateToLiteral(A98,0)</f>
        <v>[l,j,y]-[n,m]</v>
      </c>
      <c r="C98" s="9" t="s">
        <v>526</v>
      </c>
      <c r="D98" s="2" t="s">
        <v>1146</v>
      </c>
      <c r="E98" s="2" t="s">
        <v>1147</v>
      </c>
      <c r="F98" s="2"/>
      <c r="G98" s="2" t="str">
        <f>var\Pictures&amp;tab\PAO.pl[[#This Row],[Code]]&amp;".png"</f>
        <v>C:\Downloads\Project_PAO\pictures\92.png</v>
      </c>
      <c r="H98" s="26" t="s">
        <v>356</v>
      </c>
      <c r="I98" s="26" t="s">
        <v>829</v>
      </c>
      <c r="K98" s="26" t="s">
        <v>33</v>
      </c>
      <c r="L98" s="26" t="s">
        <v>33</v>
      </c>
      <c r="M98" s="26" t="s">
        <v>832</v>
      </c>
      <c r="N98" s="26" t="s">
        <v>75</v>
      </c>
      <c r="O98" s="26" t="s">
        <v>812</v>
      </c>
      <c r="P98" s="26" t="s">
        <v>827</v>
      </c>
    </row>
    <row r="99" spans="1:17" ht="14.4" customHeight="1" x14ac:dyDescent="0.3">
      <c r="A99" s="13">
        <v>93</v>
      </c>
      <c r="B99" s="8" t="str" cm="1">
        <f t="array" ref="B99">TranslateToLiteral(A99,0)</f>
        <v>[l,j,y]-[f,g,e]</v>
      </c>
      <c r="C99" s="15" t="s">
        <v>494</v>
      </c>
      <c r="D99" s="2" t="s">
        <v>1148</v>
      </c>
      <c r="E99" s="2" t="s">
        <v>1149</v>
      </c>
      <c r="F99" s="2" t="s">
        <v>1150</v>
      </c>
      <c r="G99" s="2" t="str">
        <f>var\Pictures&amp;tab\PAO.pl[[#This Row],[Code]]&amp;".png"</f>
        <v>C:\Downloads\Project_PAO\pictures\93.png</v>
      </c>
      <c r="H99" s="26" t="s">
        <v>356</v>
      </c>
      <c r="I99" s="26" t="s">
        <v>829</v>
      </c>
      <c r="K99" s="26" t="s">
        <v>33</v>
      </c>
      <c r="L99" s="26" t="s">
        <v>33</v>
      </c>
      <c r="M99" s="26" t="s">
        <v>840</v>
      </c>
      <c r="N99" s="26" t="s">
        <v>75</v>
      </c>
      <c r="O99" s="26" t="s">
        <v>811</v>
      </c>
      <c r="P99" s="26" t="s">
        <v>74</v>
      </c>
      <c r="Q99" s="26" t="s">
        <v>33</v>
      </c>
    </row>
    <row r="100" spans="1:17" ht="14.4" customHeight="1" x14ac:dyDescent="0.3">
      <c r="A100" s="13">
        <v>94</v>
      </c>
      <c r="B100" s="8" t="str" cm="1">
        <f t="array" ref="B100">TranslateToLiteral(A100,0)</f>
        <v>[l,j,y]-[r,q]</v>
      </c>
      <c r="C100" s="9" t="s">
        <v>249</v>
      </c>
      <c r="D100" s="2" t="s">
        <v>1151</v>
      </c>
      <c r="E100" s="2" t="s">
        <v>1168</v>
      </c>
      <c r="F100" s="2"/>
      <c r="G100" s="2" t="str">
        <f>var\Pictures&amp;tab\PAO.pl[[#This Row],[Code]]&amp;".png"</f>
        <v>C:\Downloads\Project_PAO\pictures\94.png</v>
      </c>
      <c r="H100" s="26" t="s">
        <v>356</v>
      </c>
      <c r="I100" s="26" t="s">
        <v>829</v>
      </c>
      <c r="K100" s="26" t="s">
        <v>33</v>
      </c>
      <c r="L100" s="26" t="s">
        <v>33</v>
      </c>
      <c r="M100" s="26" t="s">
        <v>807</v>
      </c>
      <c r="N100" s="26" t="s">
        <v>75</v>
      </c>
      <c r="O100" s="26" t="s">
        <v>812</v>
      </c>
      <c r="P100" s="26" t="s">
        <v>74</v>
      </c>
      <c r="Q100" s="26" t="s">
        <v>33</v>
      </c>
    </row>
    <row r="101" spans="1:17" ht="14.4" customHeight="1" x14ac:dyDescent="0.3">
      <c r="A101" s="13">
        <v>95</v>
      </c>
      <c r="B101" s="8" t="str" cm="1">
        <f t="array" ref="B101">TranslateToLiteral(A101,0)</f>
        <v>[l,j,y]-[v,w,u]</v>
      </c>
      <c r="C101" s="8" t="s">
        <v>493</v>
      </c>
      <c r="D101" s="2" t="s">
        <v>1152</v>
      </c>
      <c r="E101" s="2" t="s">
        <v>1153</v>
      </c>
      <c r="F101" s="2"/>
      <c r="G101" s="2" t="str">
        <f>var\Pictures&amp;tab\PAO.pl[[#This Row],[Code]]&amp;".png"</f>
        <v>C:\Downloads\Project_PAO\pictures\95.png</v>
      </c>
      <c r="H101" s="26" t="s">
        <v>356</v>
      </c>
      <c r="I101" s="26" t="s">
        <v>829</v>
      </c>
      <c r="K101" s="26" t="s">
        <v>33</v>
      </c>
      <c r="L101" s="26" t="s">
        <v>33</v>
      </c>
      <c r="M101" s="26" t="s">
        <v>806</v>
      </c>
      <c r="N101" s="26" t="s">
        <v>75</v>
      </c>
      <c r="O101" s="26" t="s">
        <v>810</v>
      </c>
      <c r="P101" s="26" t="s">
        <v>827</v>
      </c>
    </row>
    <row r="102" spans="1:17" ht="14.4" customHeight="1" x14ac:dyDescent="0.3">
      <c r="A102" s="13">
        <v>96</v>
      </c>
      <c r="B102" s="8" t="str" cm="1">
        <f t="array" ref="B102">TranslateToLiteral(A102,0)</f>
        <v>[l,j,y]-[h,x]</v>
      </c>
      <c r="C102" s="9" t="s">
        <v>169</v>
      </c>
      <c r="D102" s="2" t="s">
        <v>1154</v>
      </c>
      <c r="E102" s="2" t="s">
        <v>1155</v>
      </c>
      <c r="F102" s="2" t="s">
        <v>1156</v>
      </c>
      <c r="G102" s="2" t="str">
        <f>var\Pictures&amp;tab\PAO.pl[[#This Row],[Code]]&amp;".png"</f>
        <v>C:\Downloads\Project_PAO\pictures\96.png</v>
      </c>
      <c r="H102" s="26" t="s">
        <v>356</v>
      </c>
      <c r="I102" s="26" t="s">
        <v>829</v>
      </c>
      <c r="K102" s="26" t="s">
        <v>33</v>
      </c>
      <c r="M102" s="26" t="s">
        <v>806</v>
      </c>
      <c r="N102" s="26" t="s">
        <v>75</v>
      </c>
      <c r="O102" s="26" t="s">
        <v>813</v>
      </c>
      <c r="P102" s="26" t="s">
        <v>74</v>
      </c>
      <c r="Q102" s="26" t="s">
        <v>33</v>
      </c>
    </row>
    <row r="103" spans="1:17" ht="14.4" customHeight="1" x14ac:dyDescent="0.3">
      <c r="A103" s="13">
        <v>97</v>
      </c>
      <c r="B103" s="8" t="str" cm="1">
        <f t="array" ref="B103">TranslateToLiteral(A103,0)</f>
        <v>[l,j,y]-[c,k,i]</v>
      </c>
      <c r="C103" s="8" t="s">
        <v>156</v>
      </c>
      <c r="D103" s="8" t="s">
        <v>934</v>
      </c>
      <c r="E103" s="2" t="s">
        <v>1157</v>
      </c>
      <c r="F103" s="2" t="s">
        <v>1158</v>
      </c>
      <c r="G103" s="2" t="str">
        <f>var\Pictures&amp;tab\PAO.pl[[#This Row],[Code]]&amp;".png"</f>
        <v>C:\Downloads\Project_PAO\pictures\97.png</v>
      </c>
      <c r="H103" s="26" t="s">
        <v>356</v>
      </c>
      <c r="I103" s="26" t="s">
        <v>829</v>
      </c>
      <c r="K103" s="26" t="s">
        <v>33</v>
      </c>
      <c r="L103" s="26" t="s">
        <v>33</v>
      </c>
      <c r="M103" s="26" t="s">
        <v>815</v>
      </c>
      <c r="N103" s="26" t="s">
        <v>75</v>
      </c>
      <c r="O103" s="26" t="s">
        <v>330</v>
      </c>
      <c r="P103" s="26" t="s">
        <v>74</v>
      </c>
      <c r="Q103" s="26" t="s">
        <v>33</v>
      </c>
    </row>
    <row r="104" spans="1:17" ht="14.4" customHeight="1" x14ac:dyDescent="0.3">
      <c r="A104" s="13">
        <v>98</v>
      </c>
      <c r="B104" s="8" t="str" cm="1">
        <f t="array" ref="B104">TranslateToLiteral(A104,0)</f>
        <v>[l,j,y]-[p,b]</v>
      </c>
      <c r="C104" s="9" t="s">
        <v>182</v>
      </c>
      <c r="D104" s="2" t="s">
        <v>1159</v>
      </c>
      <c r="E104" s="2" t="s">
        <v>1160</v>
      </c>
      <c r="F104" s="2"/>
      <c r="G104" s="2" t="str">
        <f>var\Pictures&amp;tab\PAO.pl[[#This Row],[Code]]&amp;".png"</f>
        <v>C:\Downloads\Project_PAO\pictures\98.png</v>
      </c>
      <c r="H104" s="26" t="s">
        <v>356</v>
      </c>
      <c r="I104" s="26" t="s">
        <v>829</v>
      </c>
      <c r="K104" s="26" t="s">
        <v>33</v>
      </c>
      <c r="L104" s="26" t="s">
        <v>33</v>
      </c>
      <c r="M104" s="26" t="s">
        <v>801</v>
      </c>
      <c r="N104" s="26" t="s">
        <v>75</v>
      </c>
      <c r="O104" s="26" t="s">
        <v>808</v>
      </c>
      <c r="P104" s="26" t="s">
        <v>827</v>
      </c>
      <c r="Q104" s="26" t="s">
        <v>33</v>
      </c>
    </row>
    <row r="105" spans="1:17" ht="14.4" customHeight="1" x14ac:dyDescent="0.3">
      <c r="A105" s="13">
        <v>99</v>
      </c>
      <c r="B105" s="8" t="str" cm="1">
        <f t="array" ref="B105">TranslateToLiteral(A105,0)</f>
        <v>[l,j,y]-[l,j,y]</v>
      </c>
      <c r="C105" s="9" t="s">
        <v>254</v>
      </c>
      <c r="D105" s="2" t="s">
        <v>1161</v>
      </c>
      <c r="E105" s="2" t="s">
        <v>1162</v>
      </c>
      <c r="F105" s="2" t="s">
        <v>1163</v>
      </c>
      <c r="G105" s="2" t="str">
        <f>var\Pictures&amp;tab\PAO.pl[[#This Row],[Code]]&amp;".png"</f>
        <v>C:\Downloads\Project_PAO\pictures\99.png</v>
      </c>
      <c r="H105" s="26" t="s">
        <v>356</v>
      </c>
      <c r="I105" s="26" t="s">
        <v>829</v>
      </c>
      <c r="K105" s="26" t="s">
        <v>33</v>
      </c>
      <c r="L105" s="26" t="s">
        <v>33</v>
      </c>
      <c r="M105" s="26" t="s">
        <v>800</v>
      </c>
      <c r="N105" s="26" t="s">
        <v>75</v>
      </c>
      <c r="O105" s="26" t="s">
        <v>809</v>
      </c>
      <c r="P105" s="26" t="s">
        <v>827</v>
      </c>
      <c r="Q105" s="26" t="s">
        <v>33</v>
      </c>
    </row>
  </sheetData>
  <dataValidations count="4">
    <dataValidation type="list" allowBlank="1" showInputMessage="1" showErrorMessage="1" sqref="N6:N105 I6:I105 P6:P105" xr:uid="{4EA79955-C664-40CF-B61B-E647DF6C21CF}">
      <formula1>rng\Derivation</formula1>
    </dataValidation>
    <dataValidation type="list" allowBlank="1" showInputMessage="1" showErrorMessage="1" sqref="O6:O105" xr:uid="{EAE5BA2B-BA95-402F-893E-7577B9AEE093}">
      <formula1>rng\Actions</formula1>
    </dataValidation>
    <dataValidation type="list" allowBlank="1" showInputMessage="1" showErrorMessage="1" sqref="M6:M105" xr:uid="{15004791-D139-4F6B-B048-816E72004270}">
      <formula1>rng\Objects</formula1>
    </dataValidation>
    <dataValidation type="list" allowBlank="1" showInputMessage="1" showErrorMessage="1" sqref="H6:H105" xr:uid="{C0701B5F-E2C0-4504-B978-FF10AB453295}">
      <formula1>rng\Persons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A2488-BBA3-4274-B1C5-C14568F79724}">
  <sheetPr codeName="Sheet16">
    <tabColor theme="4"/>
  </sheetPr>
  <dimension ref="A1:Q105"/>
  <sheetViews>
    <sheetView workbookViewId="0">
      <pane xSplit="4" ySplit="5" topLeftCell="J6" activePane="bottomRight" state="frozen"/>
      <selection pane="topRight" activeCell="G1" sqref="G1"/>
      <selection pane="bottomLeft" activeCell="A6" sqref="A6"/>
      <selection pane="bottomRight" activeCell="Q6" sqref="Q6"/>
    </sheetView>
  </sheetViews>
  <sheetFormatPr defaultColWidth="7.77734375" defaultRowHeight="14.4" customHeight="1" x14ac:dyDescent="0.3"/>
  <cols>
    <col min="1" max="1" width="7.77734375" style="9"/>
    <col min="2" max="2" width="16.88671875" style="9" customWidth="1"/>
    <col min="3" max="3" width="28.44140625" style="9" customWidth="1"/>
    <col min="4" max="4" width="28.5546875" style="9" customWidth="1"/>
    <col min="5" max="6" width="29.109375" style="9" customWidth="1"/>
    <col min="7" max="7" width="23.6640625" style="26" customWidth="1"/>
    <col min="8" max="8" width="15.109375" style="26" customWidth="1"/>
    <col min="9" max="9" width="6.21875" style="26" customWidth="1"/>
    <col min="10" max="10" width="5.21875" style="26" customWidth="1"/>
    <col min="11" max="12" width="4.5546875" style="26" customWidth="1"/>
    <col min="13" max="13" width="12" style="26" customWidth="1"/>
    <col min="14" max="14" width="4" style="26" customWidth="1"/>
    <col min="15" max="15" width="14.109375" style="26" customWidth="1"/>
    <col min="16" max="16" width="4" style="3" customWidth="1"/>
    <col min="17" max="17" width="4.109375" style="26" customWidth="1"/>
    <col min="18" max="16384" width="7.77734375" style="9"/>
  </cols>
  <sheetData>
    <row r="1" spans="1:17" ht="14.4" customHeight="1" x14ac:dyDescent="0.3">
      <c r="P1" s="26"/>
    </row>
    <row r="2" spans="1:17" ht="14.4" customHeight="1" x14ac:dyDescent="0.3">
      <c r="B2" s="28" t="s">
        <v>598</v>
      </c>
      <c r="C2" s="29">
        <f>COUNTA(tab\PAO.en[Person])</f>
        <v>100</v>
      </c>
      <c r="D2" s="29">
        <f>COUNTA(tab\PAO.en[Object])</f>
        <v>100</v>
      </c>
      <c r="E2" s="29">
        <f>COUNTA(tab\PAO.en[Action])</f>
        <v>100</v>
      </c>
      <c r="P2" s="26"/>
    </row>
    <row r="3" spans="1:17" ht="14.4" customHeight="1" x14ac:dyDescent="0.3">
      <c r="B3" s="28" t="s">
        <v>599</v>
      </c>
      <c r="C3" s="30">
        <f>COUNTA(_xlfn.UNIQUE(tab\PAO.en[Person]))-IF(C2&lt;100,1,0)</f>
        <v>100</v>
      </c>
      <c r="D3" s="30">
        <f>COUNTA(_xlfn.UNIQUE(tab\PAO.en[Object]))-IF(D2&lt;100,1,0)</f>
        <v>100</v>
      </c>
      <c r="E3" s="30">
        <f>COUNTA(_xlfn.UNIQUE(tab\PAO.en[Action]))-IF(E2&lt;100,1,0)</f>
        <v>100</v>
      </c>
      <c r="P3" s="26"/>
    </row>
    <row r="4" spans="1:17" ht="14.4" customHeight="1" x14ac:dyDescent="0.3">
      <c r="P4" s="26"/>
    </row>
    <row r="5" spans="1:17" s="45" customFormat="1" ht="126.6" customHeight="1" x14ac:dyDescent="0.3">
      <c r="A5" s="11" t="s">
        <v>363</v>
      </c>
      <c r="B5" s="11" t="s">
        <v>798</v>
      </c>
      <c r="C5" s="45" t="s">
        <v>1</v>
      </c>
      <c r="D5" s="46" t="s">
        <v>80</v>
      </c>
      <c r="E5" s="11" t="s">
        <v>115</v>
      </c>
      <c r="F5" s="11" t="s">
        <v>1249</v>
      </c>
      <c r="G5" s="11" t="s">
        <v>1165</v>
      </c>
      <c r="H5" s="47" t="s">
        <v>0</v>
      </c>
      <c r="I5" s="47" t="s">
        <v>500</v>
      </c>
      <c r="J5" s="47" t="s">
        <v>501</v>
      </c>
      <c r="K5" s="47" t="s">
        <v>502</v>
      </c>
      <c r="L5" s="47" t="s">
        <v>503</v>
      </c>
      <c r="M5" s="47" t="s">
        <v>825</v>
      </c>
      <c r="N5" s="47" t="s">
        <v>504</v>
      </c>
      <c r="O5" s="47" t="s">
        <v>826</v>
      </c>
      <c r="P5" s="47" t="s">
        <v>505</v>
      </c>
      <c r="Q5" s="47" t="s">
        <v>940</v>
      </c>
    </row>
    <row r="6" spans="1:17" ht="14.4" customHeight="1" x14ac:dyDescent="0.3">
      <c r="A6" s="12" t="s">
        <v>43</v>
      </c>
      <c r="B6" s="8" t="str" cm="1">
        <f t="array" ref="B6">TranslateToLiteral(A6,0)</f>
        <v>[s,z,o]-[s,z,o]</v>
      </c>
      <c r="C6" s="9" t="s">
        <v>268</v>
      </c>
      <c r="D6" s="14" t="s">
        <v>109</v>
      </c>
      <c r="E6" s="14" t="s">
        <v>130</v>
      </c>
      <c r="F6" s="14"/>
      <c r="G6" s="32" t="str">
        <f>var\Pictures&amp;tab\PAO.en[[#This Row],[Code]]&amp;".png"</f>
        <v>C:\Downloads\Project_PAO\pictures\00.png</v>
      </c>
      <c r="H6" s="26" t="s">
        <v>361</v>
      </c>
      <c r="I6" s="26" t="s">
        <v>829</v>
      </c>
      <c r="J6" s="26" t="s">
        <v>33</v>
      </c>
      <c r="M6" s="26" t="s">
        <v>832</v>
      </c>
      <c r="N6" s="26" t="s">
        <v>75</v>
      </c>
      <c r="O6" s="26" t="s">
        <v>330</v>
      </c>
      <c r="P6" s="26" t="s">
        <v>74</v>
      </c>
    </row>
    <row r="7" spans="1:17" ht="14.4" customHeight="1" x14ac:dyDescent="0.3">
      <c r="A7" s="12" t="s">
        <v>44</v>
      </c>
      <c r="B7" s="8" t="str" cm="1">
        <f t="array" ref="B7">TranslateToLiteral(A7,0)</f>
        <v>[s,z,o]-[t,d,a]</v>
      </c>
      <c r="C7" s="9" t="s">
        <v>241</v>
      </c>
      <c r="D7" s="14" t="s">
        <v>941</v>
      </c>
      <c r="E7" s="14" t="s">
        <v>942</v>
      </c>
      <c r="F7" s="14"/>
      <c r="G7" s="32" t="str">
        <f>var\Pictures&amp;tab\PAO.en[[#This Row],[Code]]&amp;".png"</f>
        <v>C:\Downloads\Project_PAO\pictures\01.png</v>
      </c>
      <c r="H7" s="26" t="s">
        <v>361</v>
      </c>
      <c r="I7" s="26" t="s">
        <v>829</v>
      </c>
      <c r="J7" s="26" t="s">
        <v>33</v>
      </c>
      <c r="M7" s="26" t="s">
        <v>815</v>
      </c>
      <c r="N7" s="26" t="s">
        <v>75</v>
      </c>
      <c r="O7" s="26" t="s">
        <v>812</v>
      </c>
      <c r="P7" s="26" t="s">
        <v>827</v>
      </c>
    </row>
    <row r="8" spans="1:17" ht="14.4" customHeight="1" x14ac:dyDescent="0.3">
      <c r="A8" s="12" t="s">
        <v>52</v>
      </c>
      <c r="B8" s="8" t="str" cm="1">
        <f t="array" ref="B8">TranslateToLiteral(A8,0)</f>
        <v>[s,z,o]-[n,m]</v>
      </c>
      <c r="C8" s="9" t="s">
        <v>386</v>
      </c>
      <c r="D8" s="14" t="s">
        <v>450</v>
      </c>
      <c r="E8" s="14" t="s">
        <v>451</v>
      </c>
      <c r="F8" s="14"/>
      <c r="G8" s="32" t="str">
        <f>var\Pictures&amp;tab\PAO.en[[#This Row],[Code]]&amp;".png"</f>
        <v>C:\Downloads\Project_PAO\pictures\02.png</v>
      </c>
      <c r="H8" s="26" t="s">
        <v>361</v>
      </c>
      <c r="I8" s="26" t="s">
        <v>829</v>
      </c>
      <c r="J8" s="26" t="s">
        <v>33</v>
      </c>
      <c r="K8" s="26" t="s">
        <v>33</v>
      </c>
      <c r="M8" s="26" t="s">
        <v>839</v>
      </c>
      <c r="N8" s="26" t="s">
        <v>75</v>
      </c>
      <c r="O8" s="26" t="s">
        <v>811</v>
      </c>
      <c r="P8" s="26" t="s">
        <v>827</v>
      </c>
    </row>
    <row r="9" spans="1:17" ht="14.4" customHeight="1" x14ac:dyDescent="0.3">
      <c r="A9" s="12" t="s">
        <v>45</v>
      </c>
      <c r="B9" s="8" t="str" cm="1">
        <f t="array" ref="B9">TranslateToLiteral(A9,0)</f>
        <v>[s,z,o]-[f,g,e]</v>
      </c>
      <c r="C9" s="9" t="s">
        <v>267</v>
      </c>
      <c r="D9" s="15" t="s">
        <v>543</v>
      </c>
      <c r="E9" s="14" t="s">
        <v>329</v>
      </c>
      <c r="F9" s="14"/>
      <c r="G9" s="32" t="str">
        <f>var\Pictures&amp;tab\PAO.en[[#This Row],[Code]]&amp;".png"</f>
        <v>C:\Downloads\Project_PAO\pictures\03.png</v>
      </c>
      <c r="H9" s="26" t="s">
        <v>361</v>
      </c>
      <c r="I9" s="26" t="s">
        <v>829</v>
      </c>
      <c r="J9" s="26" t="s">
        <v>33</v>
      </c>
      <c r="K9" s="26" t="s">
        <v>33</v>
      </c>
      <c r="M9" s="26" t="s">
        <v>815</v>
      </c>
      <c r="N9" s="26" t="s">
        <v>75</v>
      </c>
      <c r="O9" s="26" t="s">
        <v>330</v>
      </c>
      <c r="P9" s="26" t="s">
        <v>74</v>
      </c>
    </row>
    <row r="10" spans="1:17" s="15" customFormat="1" ht="14.4" customHeight="1" x14ac:dyDescent="0.3">
      <c r="A10" s="16" t="s">
        <v>46</v>
      </c>
      <c r="B10" s="14" t="str" cm="1">
        <f t="array" ref="B10">TranslateToLiteral(A10,0)</f>
        <v>[s,z,o]-[r,q]</v>
      </c>
      <c r="C10" s="15" t="s">
        <v>410</v>
      </c>
      <c r="D10" s="14" t="s">
        <v>449</v>
      </c>
      <c r="E10" s="14" t="s">
        <v>448</v>
      </c>
      <c r="F10" s="14"/>
      <c r="G10" s="32" t="str">
        <f>var\Pictures&amp;tab\PAO.en[[#This Row],[Code]]&amp;".png"</f>
        <v>C:\Downloads\Project_PAO\pictures\04.png</v>
      </c>
      <c r="H10" s="26" t="s">
        <v>361</v>
      </c>
      <c r="I10" s="26" t="s">
        <v>829</v>
      </c>
      <c r="J10" s="27" t="s">
        <v>33</v>
      </c>
      <c r="K10" s="27"/>
      <c r="L10" s="27"/>
      <c r="M10" s="26" t="s">
        <v>815</v>
      </c>
      <c r="N10" s="26" t="s">
        <v>75</v>
      </c>
      <c r="O10" s="27" t="s">
        <v>809</v>
      </c>
      <c r="P10" s="26" t="s">
        <v>74</v>
      </c>
      <c r="Q10" s="27"/>
    </row>
    <row r="11" spans="1:17" ht="14.4" customHeight="1" x14ac:dyDescent="0.3">
      <c r="A11" s="12" t="s">
        <v>47</v>
      </c>
      <c r="B11" s="8" t="str" cm="1">
        <f t="array" ref="B11">TranslateToLiteral(A11,0)</f>
        <v>[s,z,o]-[v,w,u]</v>
      </c>
      <c r="C11" s="9" t="s">
        <v>334</v>
      </c>
      <c r="D11" s="14" t="s">
        <v>535</v>
      </c>
      <c r="E11" s="14" t="s">
        <v>536</v>
      </c>
      <c r="F11" s="14"/>
      <c r="G11" s="32" t="str">
        <f>var\Pictures&amp;tab\PAO.en[[#This Row],[Code]]&amp;".png"</f>
        <v>C:\Downloads\Project_PAO\pictures\05.png</v>
      </c>
      <c r="H11" s="26" t="s">
        <v>361</v>
      </c>
      <c r="I11" s="26" t="s">
        <v>829</v>
      </c>
      <c r="J11" s="26" t="s">
        <v>33</v>
      </c>
      <c r="K11" s="26" t="s">
        <v>33</v>
      </c>
      <c r="M11" s="26" t="s">
        <v>805</v>
      </c>
      <c r="N11" s="26" t="s">
        <v>75</v>
      </c>
      <c r="O11" s="26" t="s">
        <v>810</v>
      </c>
      <c r="P11" s="26" t="s">
        <v>74</v>
      </c>
    </row>
    <row r="12" spans="1:17" ht="14.4" customHeight="1" x14ac:dyDescent="0.3">
      <c r="A12" s="12" t="s">
        <v>48</v>
      </c>
      <c r="B12" s="8" t="str" cm="1">
        <f t="array" ref="B12">TranslateToLiteral(A12,0)</f>
        <v>[s,z,o]-[h,x]</v>
      </c>
      <c r="C12" s="9" t="s">
        <v>292</v>
      </c>
      <c r="D12" s="14" t="s">
        <v>544</v>
      </c>
      <c r="E12" s="14" t="s">
        <v>117</v>
      </c>
      <c r="F12" s="14"/>
      <c r="G12" s="32" t="str">
        <f>var\Pictures&amp;tab\PAO.en[[#This Row],[Code]]&amp;".png"</f>
        <v>C:\Downloads\Project_PAO\pictures\06.png</v>
      </c>
      <c r="H12" s="26" t="s">
        <v>361</v>
      </c>
      <c r="I12" s="26" t="s">
        <v>829</v>
      </c>
      <c r="J12" s="26" t="s">
        <v>33</v>
      </c>
      <c r="L12" s="26" t="s">
        <v>33</v>
      </c>
      <c r="M12" s="26" t="s">
        <v>838</v>
      </c>
      <c r="N12" s="26" t="s">
        <v>75</v>
      </c>
      <c r="O12" s="26" t="s">
        <v>812</v>
      </c>
      <c r="P12" s="26" t="s">
        <v>74</v>
      </c>
    </row>
    <row r="13" spans="1:17" ht="14.4" customHeight="1" x14ac:dyDescent="0.3">
      <c r="A13" s="12" t="s">
        <v>49</v>
      </c>
      <c r="B13" s="8" t="str" cm="1">
        <f t="array" ref="B13">TranslateToLiteral(A13,0)</f>
        <v>[s,z,o]-[c,k,i]</v>
      </c>
      <c r="C13" s="9" t="s">
        <v>413</v>
      </c>
      <c r="D13" s="14" t="s">
        <v>545</v>
      </c>
      <c r="E13" s="14" t="s">
        <v>499</v>
      </c>
      <c r="F13" s="14"/>
      <c r="G13" s="32" t="str">
        <f>var\Pictures&amp;tab\PAO.en[[#This Row],[Code]]&amp;".png"</f>
        <v>C:\Downloads\Project_PAO\pictures\07.png</v>
      </c>
      <c r="H13" s="26" t="s">
        <v>361</v>
      </c>
      <c r="I13" s="26" t="s">
        <v>829</v>
      </c>
      <c r="J13" s="26" t="s">
        <v>33</v>
      </c>
      <c r="K13" s="26" t="s">
        <v>33</v>
      </c>
      <c r="M13" s="26" t="s">
        <v>800</v>
      </c>
      <c r="N13" s="26" t="s">
        <v>75</v>
      </c>
      <c r="O13" s="26" t="s">
        <v>809</v>
      </c>
      <c r="P13" s="26" t="s">
        <v>827</v>
      </c>
    </row>
    <row r="14" spans="1:17" ht="14.4" customHeight="1" x14ac:dyDescent="0.3">
      <c r="A14" s="12" t="s">
        <v>50</v>
      </c>
      <c r="B14" s="8" t="str" cm="1">
        <f t="array" ref="B14">TranslateToLiteral(A14,0)</f>
        <v>[s,z,o]-[p,b]</v>
      </c>
      <c r="C14" s="9" t="s">
        <v>176</v>
      </c>
      <c r="D14" s="2" t="s">
        <v>546</v>
      </c>
      <c r="E14" s="2" t="s">
        <v>547</v>
      </c>
      <c r="F14" s="2"/>
      <c r="G14" s="34" t="str">
        <f>var\Pictures&amp;tab\PAO.en[[#This Row],[Code]]&amp;".png"</f>
        <v>C:\Downloads\Project_PAO\pictures\08.png</v>
      </c>
      <c r="H14" s="26" t="s">
        <v>361</v>
      </c>
      <c r="I14" s="26" t="s">
        <v>829</v>
      </c>
      <c r="J14" s="26" t="s">
        <v>33</v>
      </c>
      <c r="M14" s="26" t="s">
        <v>802</v>
      </c>
      <c r="N14" s="26" t="s">
        <v>75</v>
      </c>
      <c r="O14" s="26" t="s">
        <v>841</v>
      </c>
      <c r="P14" s="26" t="s">
        <v>74</v>
      </c>
    </row>
    <row r="15" spans="1:17" ht="14.4" customHeight="1" x14ac:dyDescent="0.3">
      <c r="A15" s="12" t="s">
        <v>51</v>
      </c>
      <c r="B15" s="8" t="str" cm="1">
        <f t="array" ref="B15">TranslateToLiteral(A15,0)</f>
        <v>[s,z,o]-[l,j,y]</v>
      </c>
      <c r="C15" s="9" t="s">
        <v>174</v>
      </c>
      <c r="D15" s="14" t="s">
        <v>533</v>
      </c>
      <c r="E15" s="14" t="s">
        <v>491</v>
      </c>
      <c r="F15" s="14"/>
      <c r="G15" s="32" t="str">
        <f>var\Pictures&amp;tab\PAO.en[[#This Row],[Code]]&amp;".png"</f>
        <v>C:\Downloads\Project_PAO\pictures\09.png</v>
      </c>
      <c r="H15" s="26" t="s">
        <v>361</v>
      </c>
      <c r="I15" s="26" t="s">
        <v>829</v>
      </c>
      <c r="J15" s="26" t="s">
        <v>33</v>
      </c>
      <c r="K15" s="26" t="s">
        <v>33</v>
      </c>
      <c r="M15" s="26" t="s">
        <v>802</v>
      </c>
      <c r="N15" s="26" t="s">
        <v>75</v>
      </c>
      <c r="O15" s="26" t="s">
        <v>809</v>
      </c>
      <c r="P15" s="26" t="s">
        <v>74</v>
      </c>
    </row>
    <row r="16" spans="1:17" ht="14.4" customHeight="1" x14ac:dyDescent="0.3">
      <c r="A16" s="13">
        <v>10</v>
      </c>
      <c r="B16" s="8" t="str" cm="1">
        <f t="array" ref="B16">TranslateToLiteral(A16,0)</f>
        <v>[t,d,a]-[s,z,o]</v>
      </c>
      <c r="C16" s="9" t="s">
        <v>224</v>
      </c>
      <c r="D16" s="2" t="s">
        <v>548</v>
      </c>
      <c r="E16" s="14" t="s">
        <v>459</v>
      </c>
      <c r="F16" s="14"/>
      <c r="G16" s="32" t="str">
        <f>var\Pictures&amp;tab\PAO.en[[#This Row],[Code]]&amp;".png"</f>
        <v>C:\Downloads\Project_PAO\pictures\10.png</v>
      </c>
      <c r="H16" s="26" t="s">
        <v>2</v>
      </c>
      <c r="I16" s="26" t="s">
        <v>829</v>
      </c>
      <c r="K16" s="26" t="s">
        <v>33</v>
      </c>
      <c r="L16" s="26" t="s">
        <v>33</v>
      </c>
      <c r="M16" s="26" t="s">
        <v>803</v>
      </c>
      <c r="N16" s="26" t="s">
        <v>75</v>
      </c>
      <c r="O16" s="26" t="s">
        <v>811</v>
      </c>
      <c r="P16" s="26" t="s">
        <v>827</v>
      </c>
    </row>
    <row r="17" spans="1:17" ht="14.4" customHeight="1" x14ac:dyDescent="0.3">
      <c r="A17" s="13">
        <v>11</v>
      </c>
      <c r="B17" s="8" t="str" cm="1">
        <f t="array" ref="B17">TranslateToLiteral(A17,0)</f>
        <v>[t,d,a]-[t,d,a]</v>
      </c>
      <c r="C17" s="9" t="s">
        <v>482</v>
      </c>
      <c r="D17" s="15" t="s">
        <v>534</v>
      </c>
      <c r="E17" s="14" t="s">
        <v>524</v>
      </c>
      <c r="F17" s="14" t="s">
        <v>892</v>
      </c>
      <c r="G17" s="32" t="str">
        <f>var\Pictures&amp;tab\PAO.en[[#This Row],[Code]]&amp;".png"</f>
        <v>C:\Downloads\Project_PAO\pictures\11.png</v>
      </c>
      <c r="H17" s="26" t="s">
        <v>2</v>
      </c>
      <c r="I17" s="26" t="s">
        <v>829</v>
      </c>
      <c r="J17" s="26" t="s">
        <v>33</v>
      </c>
      <c r="K17" s="26" t="s">
        <v>33</v>
      </c>
      <c r="M17" s="26" t="s">
        <v>804</v>
      </c>
      <c r="N17" s="26" t="s">
        <v>75</v>
      </c>
      <c r="O17" s="26" t="s">
        <v>814</v>
      </c>
      <c r="P17" s="26" t="s">
        <v>827</v>
      </c>
      <c r="Q17" s="26" t="s">
        <v>33</v>
      </c>
    </row>
    <row r="18" spans="1:17" ht="14.4" customHeight="1" x14ac:dyDescent="0.3">
      <c r="A18" s="13">
        <v>12</v>
      </c>
      <c r="B18" s="8" t="str" cm="1">
        <f t="array" ref="B18">TranslateToLiteral(A18,0)</f>
        <v>[t,d,a]-[n,m]</v>
      </c>
      <c r="C18" s="8" t="s">
        <v>506</v>
      </c>
      <c r="D18" s="2" t="s">
        <v>549</v>
      </c>
      <c r="E18" s="14" t="s">
        <v>455</v>
      </c>
      <c r="F18" s="14"/>
      <c r="G18" s="32" t="str">
        <f>var\Pictures&amp;tab\PAO.en[[#This Row],[Code]]&amp;".png"</f>
        <v>C:\Downloads\Project_PAO\pictures\12.png</v>
      </c>
      <c r="H18" s="26" t="s">
        <v>2</v>
      </c>
      <c r="I18" s="26" t="s">
        <v>829</v>
      </c>
      <c r="L18" s="26" t="s">
        <v>33</v>
      </c>
      <c r="M18" s="26" t="s">
        <v>804</v>
      </c>
      <c r="N18" s="26" t="s">
        <v>75</v>
      </c>
      <c r="O18" s="26" t="s">
        <v>814</v>
      </c>
      <c r="P18" s="26" t="s">
        <v>827</v>
      </c>
    </row>
    <row r="19" spans="1:17" ht="14.4" customHeight="1" x14ac:dyDescent="0.3">
      <c r="A19" s="13">
        <v>13</v>
      </c>
      <c r="B19" s="8" t="str" cm="1">
        <f t="array" ref="B19">TranslateToLiteral(A19,0)</f>
        <v>[t,d,a]-[f,g,e]</v>
      </c>
      <c r="C19" s="9" t="s">
        <v>341</v>
      </c>
      <c r="D19" s="2" t="s">
        <v>550</v>
      </c>
      <c r="E19" s="14" t="s">
        <v>894</v>
      </c>
      <c r="F19" s="14" t="s">
        <v>893</v>
      </c>
      <c r="G19" s="32" t="str">
        <f>var\Pictures&amp;tab\PAO.en[[#This Row],[Code]]&amp;".png"</f>
        <v>C:\Downloads\Project_PAO\pictures\13.png</v>
      </c>
      <c r="H19" s="26" t="s">
        <v>2</v>
      </c>
      <c r="I19" s="26" t="s">
        <v>829</v>
      </c>
      <c r="K19" s="26" t="s">
        <v>33</v>
      </c>
      <c r="M19" s="26" t="s">
        <v>804</v>
      </c>
      <c r="N19" s="26" t="s">
        <v>75</v>
      </c>
      <c r="O19" s="26" t="s">
        <v>814</v>
      </c>
      <c r="P19" s="26" t="s">
        <v>827</v>
      </c>
      <c r="Q19" s="26" t="s">
        <v>33</v>
      </c>
    </row>
    <row r="20" spans="1:17" ht="14.4" customHeight="1" x14ac:dyDescent="0.3">
      <c r="A20" s="13">
        <v>14</v>
      </c>
      <c r="B20" s="8" t="str" cm="1">
        <f t="array" ref="B20">TranslateToLiteral(A20,0)</f>
        <v>[t,d,a]-[r,q]</v>
      </c>
      <c r="C20" s="9" t="s">
        <v>883</v>
      </c>
      <c r="D20" s="9" t="s">
        <v>551</v>
      </c>
      <c r="E20" s="2" t="s">
        <v>552</v>
      </c>
      <c r="F20" s="2" t="s">
        <v>895</v>
      </c>
      <c r="G20" s="34" t="str">
        <f>var\Pictures&amp;tab\PAO.en[[#This Row],[Code]]&amp;".png"</f>
        <v>C:\Downloads\Project_PAO\pictures\14.png</v>
      </c>
      <c r="H20" s="26" t="s">
        <v>2</v>
      </c>
      <c r="I20" s="26" t="s">
        <v>829</v>
      </c>
      <c r="M20" s="26" t="s">
        <v>800</v>
      </c>
      <c r="N20" s="26" t="s">
        <v>75</v>
      </c>
      <c r="O20" s="26" t="s">
        <v>814</v>
      </c>
      <c r="P20" s="26" t="s">
        <v>827</v>
      </c>
      <c r="Q20" s="26" t="s">
        <v>33</v>
      </c>
    </row>
    <row r="21" spans="1:17" ht="14.4" customHeight="1" x14ac:dyDescent="0.3">
      <c r="A21" s="13">
        <v>15</v>
      </c>
      <c r="B21" s="8" t="str" cm="1">
        <f t="array" ref="B21">TranslateToLiteral(A21,0)</f>
        <v>[t,d,a]-[v,w,u]</v>
      </c>
      <c r="C21" s="9" t="s">
        <v>155</v>
      </c>
      <c r="D21" s="2" t="s">
        <v>553</v>
      </c>
      <c r="E21" s="8" t="s">
        <v>125</v>
      </c>
      <c r="F21" s="8" t="s">
        <v>896</v>
      </c>
      <c r="G21" s="35" t="str">
        <f>var\Pictures&amp;tab\PAO.en[[#This Row],[Code]]&amp;".png"</f>
        <v>C:\Downloads\Project_PAO\pictures\15.png</v>
      </c>
      <c r="H21" s="26" t="s">
        <v>2</v>
      </c>
      <c r="I21" s="26" t="s">
        <v>829</v>
      </c>
      <c r="J21" s="26" t="s">
        <v>33</v>
      </c>
      <c r="M21" s="26" t="s">
        <v>803</v>
      </c>
      <c r="N21" s="26" t="s">
        <v>75</v>
      </c>
      <c r="O21" s="26" t="s">
        <v>814</v>
      </c>
      <c r="P21" s="26" t="s">
        <v>827</v>
      </c>
      <c r="Q21" s="26" t="s">
        <v>33</v>
      </c>
    </row>
    <row r="22" spans="1:17" ht="14.4" customHeight="1" x14ac:dyDescent="0.3">
      <c r="A22" s="13">
        <v>16</v>
      </c>
      <c r="B22" s="8" t="str" cm="1">
        <f t="array" ref="B22">TranslateToLiteral(A22,0)</f>
        <v>[t,d,a]-[h,x]</v>
      </c>
      <c r="C22" s="9" t="s">
        <v>425</v>
      </c>
      <c r="D22" s="9" t="s">
        <v>314</v>
      </c>
      <c r="E22" s="8" t="s">
        <v>460</v>
      </c>
      <c r="F22" s="8"/>
      <c r="G22" s="35" t="str">
        <f>var\Pictures&amp;tab\PAO.en[[#This Row],[Code]]&amp;".png"</f>
        <v>C:\Downloads\Project_PAO\pictures\16.png</v>
      </c>
      <c r="H22" s="26" t="s">
        <v>2</v>
      </c>
      <c r="I22" s="26" t="s">
        <v>829</v>
      </c>
      <c r="J22" s="26" t="s">
        <v>33</v>
      </c>
      <c r="M22" s="26" t="s">
        <v>800</v>
      </c>
      <c r="N22" s="26" t="s">
        <v>75</v>
      </c>
      <c r="O22" s="26" t="s">
        <v>814</v>
      </c>
      <c r="P22" s="26" t="s">
        <v>827</v>
      </c>
    </row>
    <row r="23" spans="1:17" ht="14.4" customHeight="1" x14ac:dyDescent="0.3">
      <c r="A23" s="13">
        <v>17</v>
      </c>
      <c r="B23" s="8" t="str" cm="1">
        <f t="array" ref="B23">TranslateToLiteral(A23,0)</f>
        <v>[t,d,a]-[c,k,i]</v>
      </c>
      <c r="C23" s="9" t="s">
        <v>471</v>
      </c>
      <c r="D23" s="9" t="s">
        <v>488</v>
      </c>
      <c r="E23" s="8" t="s">
        <v>466</v>
      </c>
      <c r="F23" s="8"/>
      <c r="G23" s="35" t="str">
        <f>var\Pictures&amp;tab\PAO.en[[#This Row],[Code]]&amp;".png"</f>
        <v>C:\Downloads\Project_PAO\pictures\17.png</v>
      </c>
      <c r="H23" s="26" t="s">
        <v>2</v>
      </c>
      <c r="I23" s="26" t="s">
        <v>829</v>
      </c>
      <c r="J23" s="26" t="s">
        <v>33</v>
      </c>
      <c r="M23" s="26" t="s">
        <v>800</v>
      </c>
      <c r="N23" s="26" t="s">
        <v>75</v>
      </c>
      <c r="O23" s="26" t="s">
        <v>812</v>
      </c>
      <c r="P23" s="26" t="s">
        <v>74</v>
      </c>
    </row>
    <row r="24" spans="1:17" ht="14.4" customHeight="1" x14ac:dyDescent="0.3">
      <c r="A24" s="13">
        <v>18</v>
      </c>
      <c r="B24" s="8" t="str" cm="1">
        <f t="array" ref="B24">TranslateToLiteral(A24,0)</f>
        <v>[t,d,a]-[p,b]</v>
      </c>
      <c r="C24" s="8" t="s">
        <v>891</v>
      </c>
      <c r="D24" s="8" t="s">
        <v>483</v>
      </c>
      <c r="E24" s="9" t="s">
        <v>479</v>
      </c>
      <c r="F24" s="9" t="s">
        <v>897</v>
      </c>
      <c r="G24" s="33" t="str">
        <f>var\Pictures&amp;tab\PAO.en[[#This Row],[Code]]&amp;".png"</f>
        <v>C:\Downloads\Project_PAO\pictures\18.png</v>
      </c>
      <c r="H24" s="26" t="s">
        <v>2</v>
      </c>
      <c r="I24" s="26" t="s">
        <v>829</v>
      </c>
      <c r="J24" s="26" t="s">
        <v>33</v>
      </c>
      <c r="K24" s="26" t="s">
        <v>33</v>
      </c>
      <c r="M24" s="26" t="s">
        <v>838</v>
      </c>
      <c r="N24" s="26" t="s">
        <v>75</v>
      </c>
      <c r="O24" s="26" t="s">
        <v>810</v>
      </c>
      <c r="P24" s="26" t="s">
        <v>74</v>
      </c>
      <c r="Q24" s="26" t="s">
        <v>33</v>
      </c>
    </row>
    <row r="25" spans="1:17" s="7" customFormat="1" ht="14.4" customHeight="1" x14ac:dyDescent="0.3">
      <c r="A25" s="13">
        <v>19</v>
      </c>
      <c r="B25" s="8" t="str" cm="1">
        <f t="array" ref="B25">TranslateToLiteral(A25,0)</f>
        <v>[t,d,a]-[l,j,y]</v>
      </c>
      <c r="C25" s="8" t="s">
        <v>539</v>
      </c>
      <c r="D25" s="9" t="s">
        <v>587</v>
      </c>
      <c r="E25" s="8" t="s">
        <v>586</v>
      </c>
      <c r="F25" s="8" t="s">
        <v>898</v>
      </c>
      <c r="G25" s="35" t="str">
        <f>var\Pictures&amp;tab\PAO.en[[#This Row],[Code]]&amp;".png"</f>
        <v>C:\Downloads\Project_PAO\pictures\19.png</v>
      </c>
      <c r="H25" s="26" t="s">
        <v>2</v>
      </c>
      <c r="I25" s="26" t="s">
        <v>829</v>
      </c>
      <c r="J25" s="26"/>
      <c r="K25" s="26"/>
      <c r="L25" s="26"/>
      <c r="M25" s="26" t="s">
        <v>802</v>
      </c>
      <c r="N25" s="26" t="s">
        <v>75</v>
      </c>
      <c r="O25" s="26" t="s">
        <v>814</v>
      </c>
      <c r="P25" s="26" t="s">
        <v>74</v>
      </c>
      <c r="Q25" s="26" t="s">
        <v>33</v>
      </c>
    </row>
    <row r="26" spans="1:17" ht="14.4" customHeight="1" x14ac:dyDescent="0.3">
      <c r="A26" s="13">
        <v>20</v>
      </c>
      <c r="B26" s="8" t="str" cm="1">
        <f t="array" ref="B26">TranslateToLiteral(A26,0)</f>
        <v>[n,m]-[s,z,o]</v>
      </c>
      <c r="C26" s="9" t="s">
        <v>463</v>
      </c>
      <c r="D26" s="8" t="s">
        <v>462</v>
      </c>
      <c r="E26" s="8" t="s">
        <v>461</v>
      </c>
      <c r="F26" s="8"/>
      <c r="G26" s="35" t="str">
        <f>var\Pictures&amp;tab\PAO.en[[#This Row],[Code]]&amp;".png"</f>
        <v>C:\Downloads\Project_PAO\pictures\20.png</v>
      </c>
      <c r="H26" s="26" t="s">
        <v>354</v>
      </c>
      <c r="I26" s="26" t="s">
        <v>829</v>
      </c>
      <c r="K26" s="26" t="s">
        <v>33</v>
      </c>
      <c r="M26" s="26" t="s">
        <v>832</v>
      </c>
      <c r="N26" s="26" t="s">
        <v>75</v>
      </c>
      <c r="O26" s="26" t="s">
        <v>330</v>
      </c>
      <c r="P26" s="26" t="s">
        <v>74</v>
      </c>
    </row>
    <row r="27" spans="1:17" ht="14.4" customHeight="1" x14ac:dyDescent="0.3">
      <c r="A27" s="13">
        <v>21</v>
      </c>
      <c r="B27" s="8" t="str" cm="1">
        <f t="array" ref="B27">TranslateToLiteral(A27,0)</f>
        <v>[n,m]-[t,d,a]</v>
      </c>
      <c r="C27" s="9" t="s">
        <v>497</v>
      </c>
      <c r="D27" s="2" t="s">
        <v>554</v>
      </c>
      <c r="E27" s="8" t="s">
        <v>436</v>
      </c>
      <c r="F27" s="8"/>
      <c r="G27" s="35" t="str">
        <f>var\Pictures&amp;tab\PAO.en[[#This Row],[Code]]&amp;".png"</f>
        <v>C:\Downloads\Project_PAO\pictures\21.png</v>
      </c>
      <c r="H27" s="26" t="s">
        <v>354</v>
      </c>
      <c r="I27" s="26" t="s">
        <v>829</v>
      </c>
      <c r="M27" s="26" t="s">
        <v>804</v>
      </c>
      <c r="N27" s="26" t="s">
        <v>75</v>
      </c>
      <c r="O27" s="26" t="s">
        <v>809</v>
      </c>
      <c r="P27" s="26" t="s">
        <v>827</v>
      </c>
    </row>
    <row r="28" spans="1:17" ht="14.4" customHeight="1" x14ac:dyDescent="0.3">
      <c r="A28" s="13">
        <v>22</v>
      </c>
      <c r="B28" s="8" t="str" cm="1">
        <f t="array" ref="B28">TranslateToLiteral(A28,0)</f>
        <v>[n,m]-[n,m]</v>
      </c>
      <c r="C28" s="9" t="s">
        <v>368</v>
      </c>
      <c r="D28" s="2" t="s">
        <v>555</v>
      </c>
      <c r="E28" s="2" t="s">
        <v>516</v>
      </c>
      <c r="F28" s="2"/>
      <c r="G28" s="34" t="str">
        <f>var\Pictures&amp;tab\PAO.en[[#This Row],[Code]]&amp;".png"</f>
        <v>C:\Downloads\Project_PAO\pictures\22.png</v>
      </c>
      <c r="H28" s="26" t="s">
        <v>354</v>
      </c>
      <c r="I28" s="26" t="s">
        <v>829</v>
      </c>
      <c r="M28" s="26" t="s">
        <v>802</v>
      </c>
      <c r="N28" s="26" t="s">
        <v>75</v>
      </c>
      <c r="O28" s="26" t="s">
        <v>809</v>
      </c>
      <c r="P28" s="26" t="s">
        <v>833</v>
      </c>
    </row>
    <row r="29" spans="1:17" ht="14.4" customHeight="1" x14ac:dyDescent="0.3">
      <c r="A29" s="13">
        <v>23</v>
      </c>
      <c r="B29" s="8" t="str" cm="1">
        <f t="array" ref="B29">TranslateToLiteral(A29,0)</f>
        <v>[n,m]-[f,g,e]</v>
      </c>
      <c r="C29" s="9" t="s">
        <v>889</v>
      </c>
      <c r="D29" s="2" t="s">
        <v>684</v>
      </c>
      <c r="E29" s="8" t="s">
        <v>890</v>
      </c>
      <c r="F29" s="8"/>
      <c r="G29" s="35" t="str">
        <f>var\Pictures&amp;tab\PAO.en[[#This Row],[Code]]&amp;".png"</f>
        <v>C:\Downloads\Project_PAO\pictures\23.png</v>
      </c>
      <c r="H29" s="26" t="s">
        <v>354</v>
      </c>
      <c r="I29" s="26" t="s">
        <v>829</v>
      </c>
      <c r="M29" s="26" t="s">
        <v>815</v>
      </c>
      <c r="N29" s="26" t="s">
        <v>75</v>
      </c>
      <c r="O29" s="26" t="s">
        <v>812</v>
      </c>
      <c r="P29" s="26" t="s">
        <v>74</v>
      </c>
    </row>
    <row r="30" spans="1:17" ht="14.4" customHeight="1" x14ac:dyDescent="0.3">
      <c r="A30" s="13">
        <v>24</v>
      </c>
      <c r="B30" s="8" t="str" cm="1">
        <f t="array" ref="B30">TranslateToLiteral(A30,0)</f>
        <v>[n,m]-[r,q]</v>
      </c>
      <c r="C30" s="9" t="s">
        <v>143</v>
      </c>
      <c r="D30" s="2" t="s">
        <v>168</v>
      </c>
      <c r="E30" s="2" t="s">
        <v>900</v>
      </c>
      <c r="F30" s="2" t="s">
        <v>899</v>
      </c>
      <c r="G30" s="34" t="str">
        <f>var\Pictures&amp;tab\PAO.en[[#This Row],[Code]]&amp;".png"</f>
        <v>C:\Downloads\Project_PAO\pictures\24.png</v>
      </c>
      <c r="H30" s="26" t="s">
        <v>354</v>
      </c>
      <c r="I30" s="26" t="s">
        <v>829</v>
      </c>
      <c r="M30" s="26" t="s">
        <v>807</v>
      </c>
      <c r="N30" s="26" t="s">
        <v>75</v>
      </c>
      <c r="O30" s="26" t="s">
        <v>814</v>
      </c>
      <c r="P30" s="26" t="s">
        <v>74</v>
      </c>
      <c r="Q30" s="26" t="s">
        <v>33</v>
      </c>
    </row>
    <row r="31" spans="1:17" ht="14.4" customHeight="1" x14ac:dyDescent="0.3">
      <c r="A31" s="13">
        <v>25</v>
      </c>
      <c r="B31" s="8" t="str" cm="1">
        <f t="array" ref="B31">TranslateToLiteral(A31,0)</f>
        <v>[n,m]-[v,w,u]</v>
      </c>
      <c r="C31" s="9" t="s">
        <v>369</v>
      </c>
      <c r="D31" s="2" t="s">
        <v>556</v>
      </c>
      <c r="E31" s="2" t="s">
        <v>322</v>
      </c>
      <c r="F31" s="2"/>
      <c r="G31" s="34" t="str">
        <f>var\Pictures&amp;tab\PAO.en[[#This Row],[Code]]&amp;".png"</f>
        <v>C:\Downloads\Project_PAO\pictures\25.png</v>
      </c>
      <c r="H31" s="26" t="s">
        <v>354</v>
      </c>
      <c r="I31" s="26" t="s">
        <v>829</v>
      </c>
      <c r="M31" s="26" t="s">
        <v>815</v>
      </c>
      <c r="N31" s="26" t="s">
        <v>75</v>
      </c>
      <c r="O31" s="26" t="s">
        <v>808</v>
      </c>
      <c r="P31" s="26" t="s">
        <v>827</v>
      </c>
    </row>
    <row r="32" spans="1:17" ht="14.4" customHeight="1" x14ac:dyDescent="0.3">
      <c r="A32" s="13">
        <v>26</v>
      </c>
      <c r="B32" s="8" t="str" cm="1">
        <f t="array" ref="B32">TranslateToLiteral(A32,0)</f>
        <v>[n,m]-[h,x]</v>
      </c>
      <c r="C32" s="9" t="s">
        <v>370</v>
      </c>
      <c r="D32" s="2" t="s">
        <v>557</v>
      </c>
      <c r="E32" s="2" t="s">
        <v>567</v>
      </c>
      <c r="F32" s="2"/>
      <c r="G32" s="34" t="str">
        <f>var\Pictures&amp;tab\PAO.en[[#This Row],[Code]]&amp;".png"</f>
        <v>C:\Downloads\Project_PAO\pictures\26.png</v>
      </c>
      <c r="H32" s="26" t="s">
        <v>354</v>
      </c>
      <c r="I32" s="26" t="s">
        <v>829</v>
      </c>
      <c r="K32" s="26" t="s">
        <v>33</v>
      </c>
      <c r="M32" s="26" t="s">
        <v>807</v>
      </c>
      <c r="N32" s="26" t="s">
        <v>75</v>
      </c>
      <c r="O32" s="26" t="s">
        <v>812</v>
      </c>
      <c r="P32" s="26" t="s">
        <v>74</v>
      </c>
    </row>
    <row r="33" spans="1:17" ht="14.4" customHeight="1" x14ac:dyDescent="0.3">
      <c r="A33" s="13">
        <v>27</v>
      </c>
      <c r="B33" s="8" t="str" cm="1">
        <f t="array" ref="B33">TranslateToLiteral(A33,0)</f>
        <v>[n,m]-[c,k,i]</v>
      </c>
      <c r="C33" s="9" t="s">
        <v>371</v>
      </c>
      <c r="D33" s="2" t="s">
        <v>558</v>
      </c>
      <c r="E33" s="2" t="s">
        <v>469</v>
      </c>
      <c r="F33" s="2"/>
      <c r="G33" s="34" t="str">
        <f>var\Pictures&amp;tab\PAO.en[[#This Row],[Code]]&amp;".png"</f>
        <v>C:\Downloads\Project_PAO\pictures\27.png</v>
      </c>
      <c r="H33" s="26" t="s">
        <v>354</v>
      </c>
      <c r="I33" s="26" t="s">
        <v>829</v>
      </c>
      <c r="M33" s="26" t="s">
        <v>832</v>
      </c>
      <c r="N33" s="26" t="s">
        <v>75</v>
      </c>
      <c r="O33" s="26" t="s">
        <v>812</v>
      </c>
      <c r="P33" s="26" t="s">
        <v>827</v>
      </c>
    </row>
    <row r="34" spans="1:17" ht="14.4" customHeight="1" x14ac:dyDescent="0.3">
      <c r="A34" s="13">
        <v>28</v>
      </c>
      <c r="B34" s="8" t="str" cm="1">
        <f t="array" ref="B34">TranslateToLiteral(A34,0)</f>
        <v>[n,m]-[p,b]</v>
      </c>
      <c r="C34" s="9" t="s">
        <v>387</v>
      </c>
      <c r="D34" s="2" t="s">
        <v>92</v>
      </c>
      <c r="E34" s="2" t="s">
        <v>902</v>
      </c>
      <c r="F34" s="2" t="s">
        <v>901</v>
      </c>
      <c r="G34" s="34" t="str">
        <f>var\Pictures&amp;tab\PAO.en[[#This Row],[Code]]&amp;".png"</f>
        <v>C:\Downloads\Project_PAO\pictures\28.png</v>
      </c>
      <c r="H34" s="26" t="s">
        <v>354</v>
      </c>
      <c r="I34" s="26" t="s">
        <v>829</v>
      </c>
      <c r="M34" s="26" t="s">
        <v>800</v>
      </c>
      <c r="N34" s="26" t="s">
        <v>75</v>
      </c>
      <c r="O34" s="26" t="s">
        <v>809</v>
      </c>
      <c r="P34" s="26" t="s">
        <v>74</v>
      </c>
      <c r="Q34" s="26" t="s">
        <v>33</v>
      </c>
    </row>
    <row r="35" spans="1:17" ht="14.4" customHeight="1" x14ac:dyDescent="0.3">
      <c r="A35" s="13">
        <v>29</v>
      </c>
      <c r="B35" s="8" t="str" cm="1">
        <f t="array" ref="B35">TranslateToLiteral(A35,0)</f>
        <v>[n,m]-[l,j,y]</v>
      </c>
      <c r="C35" s="9" t="s">
        <v>157</v>
      </c>
      <c r="D35" s="2" t="s">
        <v>559</v>
      </c>
      <c r="E35" s="2" t="s">
        <v>560</v>
      </c>
      <c r="F35" s="2"/>
      <c r="G35" s="34" t="str">
        <f>var\Pictures&amp;tab\PAO.en[[#This Row],[Code]]&amp;".png"</f>
        <v>C:\Downloads\Project_PAO\pictures\29.png</v>
      </c>
      <c r="H35" s="26" t="s">
        <v>354</v>
      </c>
      <c r="I35" s="26" t="s">
        <v>829</v>
      </c>
      <c r="M35" s="26" t="s">
        <v>801</v>
      </c>
      <c r="N35" s="26" t="s">
        <v>75</v>
      </c>
      <c r="O35" s="26" t="s">
        <v>812</v>
      </c>
      <c r="P35" s="26" t="s">
        <v>74</v>
      </c>
    </row>
    <row r="36" spans="1:17" ht="14.4" customHeight="1" x14ac:dyDescent="0.3">
      <c r="A36" s="13">
        <v>30</v>
      </c>
      <c r="B36" s="8" t="str" cm="1">
        <f t="array" ref="B36">TranslateToLiteral(A36,0)</f>
        <v>[f,g,e]-[s,z,o]</v>
      </c>
      <c r="C36" s="9" t="s">
        <v>220</v>
      </c>
      <c r="D36" s="2" t="s">
        <v>561</v>
      </c>
      <c r="E36" s="2" t="s">
        <v>123</v>
      </c>
      <c r="F36" s="2"/>
      <c r="G36" s="34" t="str">
        <f>var\Pictures&amp;tab\PAO.en[[#This Row],[Code]]&amp;".png"</f>
        <v>C:\Downloads\Project_PAO\pictures\30.png</v>
      </c>
      <c r="H36" s="26" t="s">
        <v>362</v>
      </c>
      <c r="I36" s="26" t="s">
        <v>829</v>
      </c>
      <c r="J36" s="26" t="s">
        <v>33</v>
      </c>
      <c r="M36" s="26" t="s">
        <v>804</v>
      </c>
      <c r="N36" s="26" t="s">
        <v>75</v>
      </c>
      <c r="O36" s="26" t="s">
        <v>810</v>
      </c>
      <c r="P36" s="26" t="s">
        <v>74</v>
      </c>
    </row>
    <row r="37" spans="1:17" ht="14.4" customHeight="1" x14ac:dyDescent="0.3">
      <c r="A37" s="13">
        <v>31</v>
      </c>
      <c r="B37" s="8" t="str" cm="1">
        <f t="array" ref="B37">TranslateToLiteral(A37,0)</f>
        <v>[f,g,e]-[t,d,a]</v>
      </c>
      <c r="C37" s="9" t="s">
        <v>430</v>
      </c>
      <c r="D37" s="2" t="s">
        <v>431</v>
      </c>
      <c r="E37" s="2" t="s">
        <v>285</v>
      </c>
      <c r="F37" s="2"/>
      <c r="G37" s="34" t="str">
        <f>var\Pictures&amp;tab\PAO.en[[#This Row],[Code]]&amp;".png"</f>
        <v>C:\Downloads\Project_PAO\pictures\31.png</v>
      </c>
      <c r="H37" s="26" t="s">
        <v>362</v>
      </c>
      <c r="I37" s="26" t="s">
        <v>829</v>
      </c>
      <c r="J37" s="26" t="s">
        <v>33</v>
      </c>
      <c r="M37" s="26" t="s">
        <v>801</v>
      </c>
      <c r="N37" s="26" t="s">
        <v>75</v>
      </c>
      <c r="O37" s="26" t="s">
        <v>810</v>
      </c>
      <c r="P37" s="26" t="s">
        <v>74</v>
      </c>
    </row>
    <row r="38" spans="1:17" ht="14.4" customHeight="1" x14ac:dyDescent="0.3">
      <c r="A38" s="13">
        <v>32</v>
      </c>
      <c r="B38" s="8" t="str" cm="1">
        <f t="array" ref="B38">TranslateToLiteral(A38,0)</f>
        <v>[f,g,e]-[n,m]</v>
      </c>
      <c r="C38" s="9" t="s">
        <v>278</v>
      </c>
      <c r="D38" s="2" t="s">
        <v>508</v>
      </c>
      <c r="E38" s="2" t="s">
        <v>521</v>
      </c>
      <c r="F38" s="2"/>
      <c r="G38" s="34" t="str">
        <f>var\Pictures&amp;tab\PAO.en[[#This Row],[Code]]&amp;".png"</f>
        <v>C:\Downloads\Project_PAO\pictures\32.png</v>
      </c>
      <c r="H38" s="26" t="s">
        <v>362</v>
      </c>
      <c r="I38" s="26" t="s">
        <v>829</v>
      </c>
      <c r="J38" s="26" t="s">
        <v>33</v>
      </c>
      <c r="M38" s="26" t="s">
        <v>806</v>
      </c>
      <c r="N38" s="26" t="s">
        <v>75</v>
      </c>
      <c r="O38" s="26" t="s">
        <v>812</v>
      </c>
      <c r="P38" s="26" t="s">
        <v>827</v>
      </c>
    </row>
    <row r="39" spans="1:17" ht="14.4" customHeight="1" x14ac:dyDescent="0.3">
      <c r="A39" s="13">
        <v>33</v>
      </c>
      <c r="B39" s="8" t="str" cm="1">
        <f t="array" ref="B39">TranslateToLiteral(A39,0)</f>
        <v>[f,g,e]-[f,g,e]</v>
      </c>
      <c r="C39" s="9" t="s">
        <v>181</v>
      </c>
      <c r="D39" s="2" t="s">
        <v>474</v>
      </c>
      <c r="E39" s="2" t="s">
        <v>473</v>
      </c>
      <c r="F39" s="2" t="s">
        <v>903</v>
      </c>
      <c r="G39" s="34" t="str">
        <f>var\Pictures&amp;tab\PAO.en[[#This Row],[Code]]&amp;".png"</f>
        <v>C:\Downloads\Project_PAO\pictures\33.png</v>
      </c>
      <c r="H39" s="26" t="s">
        <v>362</v>
      </c>
      <c r="I39" s="26" t="s">
        <v>829</v>
      </c>
      <c r="J39" s="26" t="s">
        <v>33</v>
      </c>
      <c r="M39" s="26" t="s">
        <v>815</v>
      </c>
      <c r="N39" s="26" t="s">
        <v>75</v>
      </c>
      <c r="O39" s="26" t="s">
        <v>814</v>
      </c>
      <c r="P39" s="26" t="s">
        <v>74</v>
      </c>
      <c r="Q39" s="26" t="s">
        <v>33</v>
      </c>
    </row>
    <row r="40" spans="1:17" ht="14.4" customHeight="1" x14ac:dyDescent="0.3">
      <c r="A40" s="13">
        <v>34</v>
      </c>
      <c r="B40" s="8" t="str" cm="1">
        <f t="array" ref="B40">TranslateToLiteral(A40,0)</f>
        <v>[f,g,e]-[r,q]</v>
      </c>
      <c r="C40" s="9" t="s">
        <v>153</v>
      </c>
      <c r="D40" s="2" t="s">
        <v>562</v>
      </c>
      <c r="E40" s="2" t="s">
        <v>120</v>
      </c>
      <c r="F40" s="2"/>
      <c r="G40" s="34" t="str">
        <f>var\Pictures&amp;tab\PAO.en[[#This Row],[Code]]&amp;".png"</f>
        <v>C:\Downloads\Project_PAO\pictures\34.png</v>
      </c>
      <c r="H40" s="26" t="s">
        <v>362</v>
      </c>
      <c r="I40" s="26" t="s">
        <v>829</v>
      </c>
      <c r="J40" s="26" t="s">
        <v>33</v>
      </c>
      <c r="M40" s="26" t="s">
        <v>804</v>
      </c>
      <c r="N40" s="26" t="s">
        <v>833</v>
      </c>
      <c r="O40" s="26" t="s">
        <v>811</v>
      </c>
      <c r="P40" s="26" t="s">
        <v>74</v>
      </c>
    </row>
    <row r="41" spans="1:17" ht="14.4" customHeight="1" x14ac:dyDescent="0.3">
      <c r="A41" s="13">
        <v>35</v>
      </c>
      <c r="B41" s="8" t="str" cm="1">
        <f t="array" ref="B41">TranslateToLiteral(A41,0)</f>
        <v>[f,g,e]-[v,w,u]</v>
      </c>
      <c r="C41" s="9" t="s">
        <v>373</v>
      </c>
      <c r="D41" s="2" t="s">
        <v>458</v>
      </c>
      <c r="E41" s="2" t="s">
        <v>457</v>
      </c>
      <c r="F41" s="2"/>
      <c r="G41" s="34" t="str">
        <f>var\Pictures&amp;tab\PAO.en[[#This Row],[Code]]&amp;".png"</f>
        <v>C:\Downloads\Project_PAO\pictures\35.png</v>
      </c>
      <c r="H41" s="26" t="s">
        <v>362</v>
      </c>
      <c r="I41" s="26" t="s">
        <v>829</v>
      </c>
      <c r="J41" s="26" t="s">
        <v>33</v>
      </c>
      <c r="M41" s="26" t="s">
        <v>807</v>
      </c>
      <c r="N41" s="26" t="s">
        <v>75</v>
      </c>
      <c r="O41" s="26" t="s">
        <v>809</v>
      </c>
      <c r="P41" s="26" t="s">
        <v>74</v>
      </c>
    </row>
    <row r="42" spans="1:17" ht="14.4" customHeight="1" x14ac:dyDescent="0.3">
      <c r="A42" s="13">
        <v>36</v>
      </c>
      <c r="B42" s="8" t="str" cm="1">
        <f t="array" ref="B42">TranslateToLiteral(A42,0)</f>
        <v>[f,g,e]-[h,x]</v>
      </c>
      <c r="C42" s="9" t="s">
        <v>432</v>
      </c>
      <c r="D42" s="2" t="s">
        <v>428</v>
      </c>
      <c r="E42" s="2" t="s">
        <v>429</v>
      </c>
      <c r="F42" s="2"/>
      <c r="G42" s="34" t="str">
        <f>var\Pictures&amp;tab\PAO.en[[#This Row],[Code]]&amp;".png"</f>
        <v>C:\Downloads\Project_PAO\pictures\36.png</v>
      </c>
      <c r="H42" s="26" t="s">
        <v>362</v>
      </c>
      <c r="I42" s="26" t="s">
        <v>829</v>
      </c>
      <c r="J42" s="26" t="s">
        <v>33</v>
      </c>
      <c r="M42" s="26" t="s">
        <v>800</v>
      </c>
      <c r="N42" s="26" t="s">
        <v>75</v>
      </c>
      <c r="O42" s="26" t="s">
        <v>814</v>
      </c>
      <c r="P42" s="26" t="s">
        <v>74</v>
      </c>
    </row>
    <row r="43" spans="1:17" ht="14.4" customHeight="1" x14ac:dyDescent="0.3">
      <c r="A43" s="13">
        <v>37</v>
      </c>
      <c r="B43" s="8" t="str" cm="1">
        <f t="array" ref="B43">TranslateToLiteral(A43,0)</f>
        <v>[f,g,e]-[c,k,i]</v>
      </c>
      <c r="C43" s="9" t="s">
        <v>402</v>
      </c>
      <c r="D43" s="2" t="s">
        <v>406</v>
      </c>
      <c r="E43" s="2" t="s">
        <v>133</v>
      </c>
      <c r="F43" s="2"/>
      <c r="G43" s="34" t="str">
        <f>var\Pictures&amp;tab\PAO.en[[#This Row],[Code]]&amp;".png"</f>
        <v>C:\Downloads\Project_PAO\pictures\37.png</v>
      </c>
      <c r="H43" s="26" t="s">
        <v>362</v>
      </c>
      <c r="I43" s="26" t="s">
        <v>829</v>
      </c>
      <c r="J43" s="26" t="s">
        <v>33</v>
      </c>
      <c r="M43" s="26" t="s">
        <v>838</v>
      </c>
      <c r="N43" s="26" t="s">
        <v>75</v>
      </c>
      <c r="O43" s="26" t="s">
        <v>814</v>
      </c>
      <c r="P43" s="26" t="s">
        <v>74</v>
      </c>
    </row>
    <row r="44" spans="1:17" ht="14.4" customHeight="1" x14ac:dyDescent="0.3">
      <c r="A44" s="13">
        <v>38</v>
      </c>
      <c r="B44" s="8" t="str" cm="1">
        <f t="array" ref="B44">TranslateToLiteral(A44,0)</f>
        <v>[f,g,e]-[p,b]</v>
      </c>
      <c r="C44" s="9" t="s">
        <v>408</v>
      </c>
      <c r="D44" s="2" t="s">
        <v>468</v>
      </c>
      <c r="E44" s="2" t="s">
        <v>935</v>
      </c>
      <c r="F44" s="2" t="s">
        <v>936</v>
      </c>
      <c r="G44" s="34" t="str">
        <f>var\Pictures&amp;tab\PAO.en[[#This Row],[Code]]&amp;".png"</f>
        <v>C:\Downloads\Project_PAO\pictures\38.png</v>
      </c>
      <c r="H44" s="26" t="s">
        <v>362</v>
      </c>
      <c r="I44" s="26" t="s">
        <v>829</v>
      </c>
      <c r="J44" s="26" t="s">
        <v>33</v>
      </c>
      <c r="M44" s="26" t="s">
        <v>832</v>
      </c>
      <c r="N44" s="26" t="s">
        <v>75</v>
      </c>
      <c r="O44" s="26" t="s">
        <v>814</v>
      </c>
      <c r="P44" s="26" t="s">
        <v>827</v>
      </c>
      <c r="Q44" s="26" t="s">
        <v>33</v>
      </c>
    </row>
    <row r="45" spans="1:17" ht="14.4" customHeight="1" x14ac:dyDescent="0.3">
      <c r="A45" s="13">
        <v>39</v>
      </c>
      <c r="B45" s="8" t="str" cm="1">
        <f t="array" ref="B45">TranslateToLiteral(A45,0)</f>
        <v>[f,g,e]-[l,j,y]</v>
      </c>
      <c r="C45" s="9" t="s">
        <v>426</v>
      </c>
      <c r="D45" s="2" t="s">
        <v>563</v>
      </c>
      <c r="E45" s="2" t="s">
        <v>318</v>
      </c>
      <c r="F45" s="2"/>
      <c r="G45" s="34" t="str">
        <f>var\Pictures&amp;tab\PAO.en[[#This Row],[Code]]&amp;".png"</f>
        <v>C:\Downloads\Project_PAO\pictures\39.png</v>
      </c>
      <c r="H45" s="26" t="s">
        <v>362</v>
      </c>
      <c r="I45" s="26" t="s">
        <v>829</v>
      </c>
      <c r="J45" s="26" t="s">
        <v>33</v>
      </c>
      <c r="M45" s="26" t="s">
        <v>815</v>
      </c>
      <c r="N45" s="26" t="s">
        <v>75</v>
      </c>
      <c r="O45" s="26" t="s">
        <v>811</v>
      </c>
      <c r="P45" s="26" t="s">
        <v>74</v>
      </c>
    </row>
    <row r="46" spans="1:17" ht="14.4" customHeight="1" x14ac:dyDescent="0.3">
      <c r="A46" s="13">
        <v>40</v>
      </c>
      <c r="B46" s="8" t="str" cm="1">
        <f t="array" ref="B46">TranslateToLiteral(A46,0)</f>
        <v>[r,q]-[s,z,o]</v>
      </c>
      <c r="C46" s="9" t="s">
        <v>316</v>
      </c>
      <c r="D46" s="2" t="s">
        <v>317</v>
      </c>
      <c r="E46" s="2" t="s">
        <v>905</v>
      </c>
      <c r="F46" s="2" t="s">
        <v>906</v>
      </c>
      <c r="G46" s="34" t="str">
        <f>var\Pictures&amp;tab\PAO.en[[#This Row],[Code]]&amp;".png"</f>
        <v>C:\Downloads\Project_PAO\pictures\40.png</v>
      </c>
      <c r="H46" s="26" t="s">
        <v>360</v>
      </c>
      <c r="I46" s="26" t="s">
        <v>829</v>
      </c>
      <c r="M46" s="26" t="s">
        <v>800</v>
      </c>
      <c r="N46" s="26" t="s">
        <v>75</v>
      </c>
      <c r="O46" s="26" t="s">
        <v>330</v>
      </c>
      <c r="P46" s="26" t="s">
        <v>827</v>
      </c>
      <c r="Q46" s="26" t="s">
        <v>33</v>
      </c>
    </row>
    <row r="47" spans="1:17" ht="14.4" customHeight="1" x14ac:dyDescent="0.3">
      <c r="A47" s="13">
        <v>41</v>
      </c>
      <c r="B47" s="8" t="str" cm="1">
        <f t="array" ref="B47">TranslateToLiteral(A47,0)</f>
        <v>[r,q]-[t,d,a]</v>
      </c>
      <c r="C47" s="9" t="s">
        <v>414</v>
      </c>
      <c r="D47" s="2" t="s">
        <v>85</v>
      </c>
      <c r="E47" s="8" t="s">
        <v>907</v>
      </c>
      <c r="F47" s="8" t="s">
        <v>904</v>
      </c>
      <c r="G47" s="35" t="str">
        <f>var\Pictures&amp;tab\PAO.en[[#This Row],[Code]]&amp;".png"</f>
        <v>C:\Downloads\Project_PAO\pictures\41.png</v>
      </c>
      <c r="H47" s="26" t="s">
        <v>360</v>
      </c>
      <c r="I47" s="26" t="s">
        <v>829</v>
      </c>
      <c r="M47" s="26" t="s">
        <v>803</v>
      </c>
      <c r="N47" s="26" t="s">
        <v>75</v>
      </c>
      <c r="O47" s="26" t="s">
        <v>813</v>
      </c>
      <c r="P47" s="26" t="s">
        <v>827</v>
      </c>
      <c r="Q47" s="26" t="s">
        <v>33</v>
      </c>
    </row>
    <row r="48" spans="1:17" ht="14.4" customHeight="1" x14ac:dyDescent="0.3">
      <c r="A48" s="13">
        <v>42</v>
      </c>
      <c r="B48" s="8" t="str" cm="1">
        <f t="array" ref="B48">TranslateToLiteral(A48,0)</f>
        <v>[r,q]-[n,m]</v>
      </c>
      <c r="C48" s="9" t="s">
        <v>364</v>
      </c>
      <c r="D48" s="2" t="s">
        <v>138</v>
      </c>
      <c r="E48" s="2" t="s">
        <v>518</v>
      </c>
      <c r="F48" s="2"/>
      <c r="G48" s="34" t="str">
        <f>var\Pictures&amp;tab\PAO.en[[#This Row],[Code]]&amp;".png"</f>
        <v>C:\Downloads\Project_PAO\pictures\42.png</v>
      </c>
      <c r="H48" s="26" t="s">
        <v>360</v>
      </c>
      <c r="I48" s="26" t="s">
        <v>829</v>
      </c>
      <c r="M48" s="26" t="s">
        <v>832</v>
      </c>
      <c r="N48" s="26" t="s">
        <v>75</v>
      </c>
      <c r="O48" s="26" t="s">
        <v>330</v>
      </c>
      <c r="P48" s="26" t="s">
        <v>74</v>
      </c>
    </row>
    <row r="49" spans="1:17" ht="14.4" customHeight="1" x14ac:dyDescent="0.3">
      <c r="A49" s="13">
        <v>43</v>
      </c>
      <c r="B49" s="8" t="str" cm="1">
        <f t="array" ref="B49">TranslateToLiteral(A49,0)</f>
        <v>[r,q]-[f,g,e]</v>
      </c>
      <c r="C49" s="9" t="s">
        <v>171</v>
      </c>
      <c r="D49" s="2" t="s">
        <v>932</v>
      </c>
      <c r="E49" s="2" t="s">
        <v>933</v>
      </c>
      <c r="F49" s="2"/>
      <c r="G49" s="34" t="str">
        <f>var\Pictures&amp;tab\PAO.en[[#This Row],[Code]]&amp;".png"</f>
        <v>C:\Downloads\Project_PAO\pictures\43.png</v>
      </c>
      <c r="H49" s="26" t="s">
        <v>360</v>
      </c>
      <c r="I49" s="26" t="s">
        <v>829</v>
      </c>
      <c r="J49" s="26" t="s">
        <v>33</v>
      </c>
      <c r="M49" s="26" t="s">
        <v>802</v>
      </c>
      <c r="N49" s="26" t="s">
        <v>75</v>
      </c>
      <c r="O49" s="26" t="s">
        <v>814</v>
      </c>
      <c r="P49" s="26" t="s">
        <v>74</v>
      </c>
      <c r="Q49" s="26" t="s">
        <v>33</v>
      </c>
    </row>
    <row r="50" spans="1:17" ht="14.4" customHeight="1" x14ac:dyDescent="0.3">
      <c r="A50" s="13">
        <v>44</v>
      </c>
      <c r="B50" s="8" t="str" cm="1">
        <f t="array" ref="B50">TranslateToLiteral(A50,0)</f>
        <v>[r,q]-[r,q]</v>
      </c>
      <c r="C50" s="9" t="s">
        <v>404</v>
      </c>
      <c r="D50" s="2" t="s">
        <v>564</v>
      </c>
      <c r="E50" s="2" t="s">
        <v>515</v>
      </c>
      <c r="F50" s="2"/>
      <c r="G50" s="34" t="str">
        <f>var\Pictures&amp;tab\PAO.en[[#This Row],[Code]]&amp;".png"</f>
        <v>C:\Downloads\Project_PAO\pictures\44.png</v>
      </c>
      <c r="H50" s="26" t="s">
        <v>360</v>
      </c>
      <c r="I50" s="26" t="s">
        <v>829</v>
      </c>
      <c r="M50" s="26" t="s">
        <v>802</v>
      </c>
      <c r="N50" s="26" t="s">
        <v>75</v>
      </c>
      <c r="O50" s="26" t="s">
        <v>813</v>
      </c>
      <c r="P50" s="26" t="s">
        <v>74</v>
      </c>
    </row>
    <row r="51" spans="1:17" ht="14.4" customHeight="1" x14ac:dyDescent="0.3">
      <c r="A51" s="13">
        <v>45</v>
      </c>
      <c r="B51" s="8" t="str" cm="1">
        <f t="array" ref="B51">TranslateToLiteral(A51,0)</f>
        <v>[r,q]-[v,w,u]</v>
      </c>
      <c r="C51" s="9" t="s">
        <v>374</v>
      </c>
      <c r="D51" s="2" t="s">
        <v>565</v>
      </c>
      <c r="E51" s="2" t="s">
        <v>456</v>
      </c>
      <c r="F51" s="2"/>
      <c r="G51" s="34" t="str">
        <f>var\Pictures&amp;tab\PAO.en[[#This Row],[Code]]&amp;".png"</f>
        <v>C:\Downloads\Project_PAO\pictures\45.png</v>
      </c>
      <c r="H51" s="26" t="s">
        <v>360</v>
      </c>
      <c r="I51" s="26" t="s">
        <v>829</v>
      </c>
      <c r="M51" s="26" t="s">
        <v>806</v>
      </c>
      <c r="N51" s="26" t="s">
        <v>75</v>
      </c>
      <c r="O51" s="26" t="s">
        <v>808</v>
      </c>
      <c r="P51" s="26" t="s">
        <v>74</v>
      </c>
    </row>
    <row r="52" spans="1:17" ht="14.4" customHeight="1" x14ac:dyDescent="0.3">
      <c r="A52" s="13">
        <v>46</v>
      </c>
      <c r="B52" s="8" t="str" cm="1">
        <f t="array" ref="B52">TranslateToLiteral(A52,0)</f>
        <v>[r,q]-[h,x]</v>
      </c>
      <c r="C52" s="9" t="s">
        <v>415</v>
      </c>
      <c r="D52" s="2" t="s">
        <v>481</v>
      </c>
      <c r="E52" s="2" t="s">
        <v>566</v>
      </c>
      <c r="F52" s="2" t="s">
        <v>931</v>
      </c>
      <c r="G52" s="34" t="str">
        <f>var\Pictures&amp;tab\PAO.en[[#This Row],[Code]]&amp;".png"</f>
        <v>C:\Downloads\Project_PAO\pictures\46.png</v>
      </c>
      <c r="H52" s="26" t="s">
        <v>360</v>
      </c>
      <c r="I52" s="26" t="s">
        <v>829</v>
      </c>
      <c r="J52" s="26" t="s">
        <v>33</v>
      </c>
      <c r="M52" s="26" t="s">
        <v>836</v>
      </c>
      <c r="N52" s="26" t="s">
        <v>75</v>
      </c>
      <c r="O52" s="26" t="s">
        <v>812</v>
      </c>
      <c r="P52" s="26" t="s">
        <v>74</v>
      </c>
      <c r="Q52" s="26" t="s">
        <v>33</v>
      </c>
    </row>
    <row r="53" spans="1:17" ht="14.4" customHeight="1" x14ac:dyDescent="0.3">
      <c r="A53" s="13">
        <v>47</v>
      </c>
      <c r="B53" s="8" t="str" cm="1">
        <f t="array" ref="B53">TranslateToLiteral(A53,0)</f>
        <v>[r,q]-[c,k,i]</v>
      </c>
      <c r="C53" s="9" t="s">
        <v>293</v>
      </c>
      <c r="D53" s="2" t="s">
        <v>465</v>
      </c>
      <c r="E53" s="2" t="s">
        <v>939</v>
      </c>
      <c r="F53" s="2"/>
      <c r="G53" s="34" t="str">
        <f>var\Pictures&amp;tab\PAO.en[[#This Row],[Code]]&amp;".png"</f>
        <v>C:\Downloads\Project_PAO\pictures\47.png</v>
      </c>
      <c r="H53" s="26" t="s">
        <v>360</v>
      </c>
      <c r="I53" s="26" t="s">
        <v>829</v>
      </c>
      <c r="J53" s="26" t="s">
        <v>33</v>
      </c>
      <c r="M53" s="26" t="s">
        <v>832</v>
      </c>
      <c r="N53" s="26" t="s">
        <v>75</v>
      </c>
      <c r="O53" s="26" t="s">
        <v>808</v>
      </c>
      <c r="P53" s="26" t="s">
        <v>827</v>
      </c>
      <c r="Q53" s="26" t="s">
        <v>33</v>
      </c>
    </row>
    <row r="54" spans="1:17" ht="14.4" customHeight="1" x14ac:dyDescent="0.3">
      <c r="A54" s="13">
        <v>48</v>
      </c>
      <c r="B54" s="8" t="str" cm="1">
        <f t="array" ref="B54">TranslateToLiteral(A54,0)</f>
        <v>[r,q]-[p,b]</v>
      </c>
      <c r="C54" s="9" t="s">
        <v>878</v>
      </c>
      <c r="D54" s="2" t="s">
        <v>79</v>
      </c>
      <c r="E54" s="2" t="s">
        <v>522</v>
      </c>
      <c r="F54" s="2" t="s">
        <v>930</v>
      </c>
      <c r="G54" s="34" t="str">
        <f>var\Pictures&amp;tab\PAO.en[[#This Row],[Code]]&amp;".png"</f>
        <v>C:\Downloads\Project_PAO\pictures\48.png</v>
      </c>
      <c r="H54" s="26" t="s">
        <v>360</v>
      </c>
      <c r="I54" s="26" t="s">
        <v>829</v>
      </c>
      <c r="M54" s="26" t="s">
        <v>803</v>
      </c>
      <c r="N54" s="26" t="s">
        <v>75</v>
      </c>
      <c r="O54" s="26" t="s">
        <v>810</v>
      </c>
      <c r="P54" s="26" t="s">
        <v>827</v>
      </c>
      <c r="Q54" s="26" t="s">
        <v>33</v>
      </c>
    </row>
    <row r="55" spans="1:17" ht="14.4" customHeight="1" x14ac:dyDescent="0.3">
      <c r="A55" s="13">
        <v>49</v>
      </c>
      <c r="B55" s="8" t="str" cm="1">
        <f t="array" ref="B55">TranslateToLiteral(A55,0)</f>
        <v>[r,q]-[l,j,y]</v>
      </c>
      <c r="C55" s="9" t="s">
        <v>405</v>
      </c>
      <c r="D55" s="8" t="s">
        <v>528</v>
      </c>
      <c r="E55" s="8" t="s">
        <v>523</v>
      </c>
      <c r="F55" s="8"/>
      <c r="G55" s="35" t="str">
        <f>var\Pictures&amp;tab\PAO.en[[#This Row],[Code]]&amp;".png"</f>
        <v>C:\Downloads\Project_PAO\pictures\49.png</v>
      </c>
      <c r="H55" s="26" t="s">
        <v>360</v>
      </c>
      <c r="I55" s="26" t="s">
        <v>829</v>
      </c>
      <c r="M55" s="26" t="s">
        <v>804</v>
      </c>
      <c r="N55" s="26" t="s">
        <v>75</v>
      </c>
      <c r="O55" s="26" t="s">
        <v>330</v>
      </c>
      <c r="P55" s="26" t="s">
        <v>74</v>
      </c>
    </row>
    <row r="56" spans="1:17" ht="14.4" customHeight="1" x14ac:dyDescent="0.3">
      <c r="A56" s="13">
        <v>50</v>
      </c>
      <c r="B56" s="8" t="str" cm="1">
        <f t="array" ref="B56">TranslateToLiteral(A56,0)</f>
        <v>[v,w,u]-[s,z,o]</v>
      </c>
      <c r="C56" s="9" t="s">
        <v>320</v>
      </c>
      <c r="D56" s="8" t="s">
        <v>409</v>
      </c>
      <c r="E56" s="2" t="s">
        <v>280</v>
      </c>
      <c r="F56" s="2"/>
      <c r="G56" s="34" t="str">
        <f>var\Pictures&amp;tab\PAO.en[[#This Row],[Code]]&amp;".png"</f>
        <v>C:\Downloads\Project_PAO\pictures\50.png</v>
      </c>
      <c r="H56" s="26" t="s">
        <v>357</v>
      </c>
      <c r="I56" s="26" t="s">
        <v>829</v>
      </c>
      <c r="J56" s="26" t="s">
        <v>33</v>
      </c>
      <c r="M56" s="26" t="s">
        <v>832</v>
      </c>
      <c r="N56" s="26" t="s">
        <v>75</v>
      </c>
      <c r="O56" s="26" t="s">
        <v>813</v>
      </c>
      <c r="P56" s="26" t="s">
        <v>74</v>
      </c>
    </row>
    <row r="57" spans="1:17" ht="14.4" customHeight="1" x14ac:dyDescent="0.3">
      <c r="A57" s="13">
        <v>51</v>
      </c>
      <c r="B57" s="8" t="str" cm="1">
        <f t="array" ref="B57">TranslateToLiteral(A57,0)</f>
        <v>[v,w,u]-[t,d,a]</v>
      </c>
      <c r="C57" s="9" t="s">
        <v>886</v>
      </c>
      <c r="D57" s="8" t="s">
        <v>887</v>
      </c>
      <c r="E57" s="8" t="s">
        <v>286</v>
      </c>
      <c r="F57" s="8"/>
      <c r="G57" s="35" t="str">
        <f>var\Pictures&amp;tab\PAO.en[[#This Row],[Code]]&amp;".png"</f>
        <v>C:\Downloads\Project_PAO\pictures\51.png</v>
      </c>
      <c r="H57" s="26" t="s">
        <v>357</v>
      </c>
      <c r="I57" s="26" t="s">
        <v>829</v>
      </c>
      <c r="J57" s="26" t="s">
        <v>33</v>
      </c>
      <c r="M57" s="26" t="s">
        <v>805</v>
      </c>
      <c r="N57" s="26" t="s">
        <v>75</v>
      </c>
      <c r="O57" s="26" t="s">
        <v>812</v>
      </c>
      <c r="P57" s="26" t="s">
        <v>827</v>
      </c>
    </row>
    <row r="58" spans="1:17" ht="14.4" customHeight="1" x14ac:dyDescent="0.3">
      <c r="A58" s="13">
        <v>52</v>
      </c>
      <c r="B58" s="8" t="str" cm="1">
        <f t="array" ref="B58">TranslateToLiteral(A58,0)</f>
        <v>[v,w,u]-[n,m]</v>
      </c>
      <c r="C58" s="9" t="s">
        <v>148</v>
      </c>
      <c r="D58" s="8" t="s">
        <v>453</v>
      </c>
      <c r="E58" s="8" t="s">
        <v>444</v>
      </c>
      <c r="F58" s="8"/>
      <c r="G58" s="35" t="str">
        <f>var\Pictures&amp;tab\PAO.en[[#This Row],[Code]]&amp;".png"</f>
        <v>C:\Downloads\Project_PAO\pictures\52.png</v>
      </c>
      <c r="H58" s="26" t="s">
        <v>357</v>
      </c>
      <c r="I58" s="26" t="s">
        <v>829</v>
      </c>
      <c r="L58" s="26" t="s">
        <v>33</v>
      </c>
      <c r="M58" s="26" t="s">
        <v>832</v>
      </c>
      <c r="N58" s="26" t="s">
        <v>75</v>
      </c>
      <c r="O58" s="26" t="s">
        <v>330</v>
      </c>
      <c r="P58" s="26" t="s">
        <v>827</v>
      </c>
      <c r="Q58" s="26" t="s">
        <v>33</v>
      </c>
    </row>
    <row r="59" spans="1:17" ht="14.4" customHeight="1" x14ac:dyDescent="0.3">
      <c r="A59" s="13">
        <v>53</v>
      </c>
      <c r="B59" s="8" t="str" cm="1">
        <f t="array" ref="B59">TranslateToLiteral(A59,0)</f>
        <v>[v,w,u]-[f,g,e]</v>
      </c>
      <c r="C59" s="8" t="s">
        <v>487</v>
      </c>
      <c r="D59" s="9" t="s">
        <v>89</v>
      </c>
      <c r="E59" s="8" t="s">
        <v>929</v>
      </c>
      <c r="F59" s="8" t="s">
        <v>928</v>
      </c>
      <c r="G59" s="35" t="str">
        <f>var\Pictures&amp;tab\PAO.en[[#This Row],[Code]]&amp;".png"</f>
        <v>C:\Downloads\Project_PAO\pictures\53.png</v>
      </c>
      <c r="H59" s="26" t="s">
        <v>357</v>
      </c>
      <c r="I59" s="26" t="s">
        <v>829</v>
      </c>
      <c r="K59" s="26" t="s">
        <v>33</v>
      </c>
      <c r="M59" s="26" t="s">
        <v>832</v>
      </c>
      <c r="N59" s="26" t="s">
        <v>75</v>
      </c>
      <c r="O59" s="26" t="s">
        <v>841</v>
      </c>
      <c r="P59" s="26" t="s">
        <v>74</v>
      </c>
      <c r="Q59" s="26" t="s">
        <v>33</v>
      </c>
    </row>
    <row r="60" spans="1:17" ht="14.4" customHeight="1" x14ac:dyDescent="0.3">
      <c r="A60" s="13">
        <v>54</v>
      </c>
      <c r="B60" s="8" t="str" cm="1">
        <f t="array" ref="B60">TranslateToLiteral(A60,0)</f>
        <v>[v,w,u]-[r,q]</v>
      </c>
      <c r="C60" s="9" t="s">
        <v>298</v>
      </c>
      <c r="D60" s="2" t="s">
        <v>568</v>
      </c>
      <c r="E60" s="2" t="s">
        <v>909</v>
      </c>
      <c r="F60" s="2" t="s">
        <v>908</v>
      </c>
      <c r="G60" s="34" t="str">
        <f>var\Pictures&amp;tab\PAO.en[[#This Row],[Code]]&amp;".png"</f>
        <v>C:\Downloads\Project_PAO\pictures\54.png</v>
      </c>
      <c r="H60" s="26" t="s">
        <v>357</v>
      </c>
      <c r="I60" s="26" t="s">
        <v>829</v>
      </c>
      <c r="J60" s="26" t="s">
        <v>33</v>
      </c>
      <c r="M60" s="26" t="s">
        <v>832</v>
      </c>
      <c r="N60" s="26" t="s">
        <v>75</v>
      </c>
      <c r="O60" s="26" t="s">
        <v>814</v>
      </c>
      <c r="P60" s="26" t="s">
        <v>827</v>
      </c>
      <c r="Q60" s="26" t="s">
        <v>33</v>
      </c>
    </row>
    <row r="61" spans="1:17" ht="14.4" customHeight="1" x14ac:dyDescent="0.3">
      <c r="A61" s="13">
        <v>55</v>
      </c>
      <c r="B61" s="8" t="str" cm="1">
        <f t="array" ref="B61">TranslateToLiteral(A61,0)</f>
        <v>[v,w,u]-[v,w,u]</v>
      </c>
      <c r="C61" s="9" t="s">
        <v>446</v>
      </c>
      <c r="D61" s="8" t="s">
        <v>434</v>
      </c>
      <c r="E61" s="8" t="s">
        <v>128</v>
      </c>
      <c r="F61" s="8"/>
      <c r="G61" s="35" t="str">
        <f>var\Pictures&amp;tab\PAO.en[[#This Row],[Code]]&amp;".png"</f>
        <v>C:\Downloads\Project_PAO\pictures\55.png</v>
      </c>
      <c r="H61" s="26" t="s">
        <v>357</v>
      </c>
      <c r="I61" s="26" t="s">
        <v>829</v>
      </c>
      <c r="J61" s="26" t="s">
        <v>33</v>
      </c>
      <c r="M61" s="26" t="s">
        <v>803</v>
      </c>
      <c r="N61" s="26" t="s">
        <v>75</v>
      </c>
      <c r="O61" s="26" t="s">
        <v>811</v>
      </c>
      <c r="P61" s="26" t="s">
        <v>827</v>
      </c>
    </row>
    <row r="62" spans="1:17" ht="14.4" customHeight="1" x14ac:dyDescent="0.3">
      <c r="A62" s="13">
        <v>56</v>
      </c>
      <c r="B62" s="8" t="str" cm="1">
        <f t="array" ref="B62">TranslateToLiteral(A62,0)</f>
        <v>[v,w,u]-[h,x]</v>
      </c>
      <c r="C62" s="9" t="s">
        <v>375</v>
      </c>
      <c r="D62" s="9" t="s">
        <v>490</v>
      </c>
      <c r="E62" s="8" t="s">
        <v>489</v>
      </c>
      <c r="F62" s="8"/>
      <c r="G62" s="35" t="str">
        <f>var\Pictures&amp;tab\PAO.en[[#This Row],[Code]]&amp;".png"</f>
        <v>C:\Downloads\Project_PAO\pictures\56.png</v>
      </c>
      <c r="H62" s="26" t="s">
        <v>357</v>
      </c>
      <c r="I62" s="26" t="s">
        <v>829</v>
      </c>
      <c r="M62" s="26" t="s">
        <v>839</v>
      </c>
      <c r="N62" s="26" t="s">
        <v>75</v>
      </c>
      <c r="O62" s="26" t="s">
        <v>809</v>
      </c>
      <c r="P62" s="26" t="s">
        <v>827</v>
      </c>
    </row>
    <row r="63" spans="1:17" ht="14.4" customHeight="1" x14ac:dyDescent="0.3">
      <c r="A63" s="13">
        <v>57</v>
      </c>
      <c r="B63" s="8" t="str" cm="1">
        <f t="array" ref="B63">TranslateToLiteral(A63,0)</f>
        <v>[v,w,u]-[c,k,i]</v>
      </c>
      <c r="C63" s="9" t="s">
        <v>355</v>
      </c>
      <c r="D63" s="14" t="s">
        <v>445</v>
      </c>
      <c r="E63" s="8" t="s">
        <v>325</v>
      </c>
      <c r="F63" s="8"/>
      <c r="G63" s="35" t="str">
        <f>var\Pictures&amp;tab\PAO.en[[#This Row],[Code]]&amp;".png"</f>
        <v>C:\Downloads\Project_PAO\pictures\57.png</v>
      </c>
      <c r="H63" s="26" t="s">
        <v>357</v>
      </c>
      <c r="I63" s="26" t="s">
        <v>829</v>
      </c>
      <c r="K63" s="26" t="s">
        <v>33</v>
      </c>
      <c r="M63" s="26" t="s">
        <v>801</v>
      </c>
      <c r="N63" s="26" t="s">
        <v>75</v>
      </c>
      <c r="O63" s="26" t="s">
        <v>810</v>
      </c>
      <c r="P63" s="26" t="s">
        <v>827</v>
      </c>
    </row>
    <row r="64" spans="1:17" ht="14.4" customHeight="1" x14ac:dyDescent="0.3">
      <c r="A64" s="13">
        <v>58</v>
      </c>
      <c r="B64" s="8" t="str" cm="1">
        <f t="array" ref="B64">TranslateToLiteral(A64,0)</f>
        <v>[v,w,u]-[p,b]</v>
      </c>
      <c r="C64" s="9" t="s">
        <v>163</v>
      </c>
      <c r="D64" s="9" t="s">
        <v>452</v>
      </c>
      <c r="E64" s="8" t="s">
        <v>129</v>
      </c>
      <c r="F64" s="8"/>
      <c r="G64" s="35" t="str">
        <f>var\Pictures&amp;tab\PAO.en[[#This Row],[Code]]&amp;".png"</f>
        <v>C:\Downloads\Project_PAO\pictures\58.png</v>
      </c>
      <c r="H64" s="26" t="s">
        <v>357</v>
      </c>
      <c r="I64" s="26" t="s">
        <v>829</v>
      </c>
      <c r="K64" s="26" t="s">
        <v>33</v>
      </c>
      <c r="M64" s="26" t="s">
        <v>815</v>
      </c>
      <c r="N64" s="26" t="s">
        <v>75</v>
      </c>
      <c r="O64" s="26" t="s">
        <v>330</v>
      </c>
      <c r="P64" s="26" t="s">
        <v>74</v>
      </c>
    </row>
    <row r="65" spans="1:17" ht="14.4" customHeight="1" x14ac:dyDescent="0.3">
      <c r="A65" s="13">
        <v>59</v>
      </c>
      <c r="B65" s="8" t="str" cm="1">
        <f t="array" ref="B65">TranslateToLiteral(A65,0)</f>
        <v>[v,w,u]-[l,j,y]</v>
      </c>
      <c r="C65" s="9" t="s">
        <v>218</v>
      </c>
      <c r="D65" s="8" t="s">
        <v>427</v>
      </c>
      <c r="E65" s="8" t="s">
        <v>517</v>
      </c>
      <c r="F65" s="8"/>
      <c r="G65" s="35" t="str">
        <f>var\Pictures&amp;tab\PAO.en[[#This Row],[Code]]&amp;".png"</f>
        <v>C:\Downloads\Project_PAO\pictures\59.png</v>
      </c>
      <c r="H65" s="26" t="s">
        <v>357</v>
      </c>
      <c r="I65" s="26" t="s">
        <v>829</v>
      </c>
      <c r="J65" s="26" t="s">
        <v>33</v>
      </c>
      <c r="M65" s="26" t="s">
        <v>807</v>
      </c>
      <c r="N65" s="26" t="s">
        <v>75</v>
      </c>
      <c r="O65" s="26" t="s">
        <v>330</v>
      </c>
      <c r="P65" s="26" t="s">
        <v>827</v>
      </c>
    </row>
    <row r="66" spans="1:17" ht="14.4" customHeight="1" x14ac:dyDescent="0.3">
      <c r="A66" s="13">
        <v>60</v>
      </c>
      <c r="B66" s="8" t="str" cm="1">
        <f t="array" ref="B66">TranslateToLiteral(A66,0)</f>
        <v>[h,x]-[s,z,o]</v>
      </c>
      <c r="C66" s="9" t="s">
        <v>376</v>
      </c>
      <c r="D66" s="8" t="s">
        <v>454</v>
      </c>
      <c r="E66" s="2" t="s">
        <v>328</v>
      </c>
      <c r="F66" s="2"/>
      <c r="G66" s="34" t="str">
        <f>var\Pictures&amp;tab\PAO.en[[#This Row],[Code]]&amp;".png"</f>
        <v>C:\Downloads\Project_PAO\pictures\60.png</v>
      </c>
      <c r="H66" s="26" t="s">
        <v>353</v>
      </c>
      <c r="I66" s="26" t="s">
        <v>829</v>
      </c>
      <c r="M66" s="26" t="s">
        <v>801</v>
      </c>
      <c r="N66" s="26" t="s">
        <v>75</v>
      </c>
      <c r="O66" s="26" t="s">
        <v>811</v>
      </c>
      <c r="P66" s="26" t="s">
        <v>74</v>
      </c>
    </row>
    <row r="67" spans="1:17" ht="14.4" customHeight="1" x14ac:dyDescent="0.3">
      <c r="A67" s="13">
        <v>61</v>
      </c>
      <c r="B67" s="8" t="str" cm="1">
        <f t="array" ref="B67">TranslateToLiteral(A67,0)</f>
        <v>[h,x]-[t,d,a]</v>
      </c>
      <c r="C67" s="9" t="s">
        <v>378</v>
      </c>
      <c r="D67" s="2" t="s">
        <v>569</v>
      </c>
      <c r="E67" s="2" t="s">
        <v>116</v>
      </c>
      <c r="F67" s="2"/>
      <c r="G67" s="34" t="str">
        <f>var\Pictures&amp;tab\PAO.en[[#This Row],[Code]]&amp;".png"</f>
        <v>C:\Downloads\Project_PAO\pictures\61.png</v>
      </c>
      <c r="H67" s="26" t="s">
        <v>353</v>
      </c>
      <c r="I67" s="26" t="s">
        <v>829</v>
      </c>
      <c r="M67" s="26" t="s">
        <v>801</v>
      </c>
      <c r="N67" s="26" t="s">
        <v>75</v>
      </c>
      <c r="O67" s="26" t="s">
        <v>808</v>
      </c>
      <c r="P67" s="26" t="s">
        <v>74</v>
      </c>
    </row>
    <row r="68" spans="1:17" ht="14.4" customHeight="1" x14ac:dyDescent="0.3">
      <c r="A68" s="13">
        <v>62</v>
      </c>
      <c r="B68" s="8" t="str" cm="1">
        <f t="array" ref="B68">TranslateToLiteral(A68,0)</f>
        <v>[h,x]-[n,m]</v>
      </c>
      <c r="C68" s="9" t="s">
        <v>150</v>
      </c>
      <c r="D68" s="8" t="s">
        <v>584</v>
      </c>
      <c r="E68" s="8" t="s">
        <v>304</v>
      </c>
      <c r="F68" s="8"/>
      <c r="G68" s="35" t="str">
        <f>var\Pictures&amp;tab\PAO.en[[#This Row],[Code]]&amp;".png"</f>
        <v>C:\Downloads\Project_PAO\pictures\62.png</v>
      </c>
      <c r="H68" s="26" t="s">
        <v>353</v>
      </c>
      <c r="I68" s="26" t="s">
        <v>829</v>
      </c>
      <c r="M68" s="26" t="s">
        <v>805</v>
      </c>
      <c r="N68" s="26" t="s">
        <v>75</v>
      </c>
      <c r="O68" s="26" t="s">
        <v>330</v>
      </c>
      <c r="P68" s="26" t="s">
        <v>74</v>
      </c>
    </row>
    <row r="69" spans="1:17" ht="14.4" customHeight="1" x14ac:dyDescent="0.3">
      <c r="A69" s="13">
        <v>63</v>
      </c>
      <c r="B69" s="8" t="str" cm="1">
        <f t="array" ref="B69">TranslateToLiteral(A69,0)</f>
        <v>[h,x]-[f,g,e]</v>
      </c>
      <c r="C69" s="8" t="s">
        <v>424</v>
      </c>
      <c r="D69" s="2" t="s">
        <v>570</v>
      </c>
      <c r="E69" s="2" t="s">
        <v>911</v>
      </c>
      <c r="F69" s="2" t="s">
        <v>910</v>
      </c>
      <c r="G69" s="34" t="str">
        <f>var\Pictures&amp;tab\PAO.en[[#This Row],[Code]]&amp;".png"</f>
        <v>C:\Downloads\Project_PAO\pictures\63.png</v>
      </c>
      <c r="H69" s="26" t="s">
        <v>353</v>
      </c>
      <c r="I69" s="26" t="s">
        <v>829</v>
      </c>
      <c r="M69" s="26" t="s">
        <v>801</v>
      </c>
      <c r="N69" s="26" t="s">
        <v>75</v>
      </c>
      <c r="O69" s="26" t="s">
        <v>814</v>
      </c>
      <c r="P69" s="26" t="s">
        <v>74</v>
      </c>
      <c r="Q69" s="26" t="s">
        <v>33</v>
      </c>
    </row>
    <row r="70" spans="1:17" ht="14.4" customHeight="1" x14ac:dyDescent="0.3">
      <c r="A70" s="13">
        <v>64</v>
      </c>
      <c r="B70" s="8" t="str" cm="1">
        <f t="array" ref="B70">TranslateToLiteral(A70,0)</f>
        <v>[h,x]-[r,q]</v>
      </c>
      <c r="C70" s="9" t="s">
        <v>422</v>
      </c>
      <c r="D70" s="2" t="s">
        <v>512</v>
      </c>
      <c r="E70" s="2" t="s">
        <v>423</v>
      </c>
      <c r="F70" s="2" t="s">
        <v>927</v>
      </c>
      <c r="G70" s="34" t="str">
        <f>var\Pictures&amp;tab\PAO.en[[#This Row],[Code]]&amp;".png"</f>
        <v>C:\Downloads\Project_PAO\pictures\64.png</v>
      </c>
      <c r="H70" s="26" t="s">
        <v>353</v>
      </c>
      <c r="I70" s="26" t="s">
        <v>829</v>
      </c>
      <c r="M70" s="26" t="s">
        <v>800</v>
      </c>
      <c r="N70" s="26" t="s">
        <v>75</v>
      </c>
      <c r="O70" s="26" t="s">
        <v>814</v>
      </c>
      <c r="P70" s="26" t="s">
        <v>74</v>
      </c>
      <c r="Q70" s="26" t="s">
        <v>33</v>
      </c>
    </row>
    <row r="71" spans="1:17" ht="14.4" customHeight="1" x14ac:dyDescent="0.3">
      <c r="A71" s="13">
        <v>65</v>
      </c>
      <c r="B71" s="8" t="str" cm="1">
        <f t="array" ref="B71">TranslateToLiteral(A71,0)</f>
        <v>[h,x]-[v,w,u]</v>
      </c>
      <c r="C71" s="8" t="s">
        <v>340</v>
      </c>
      <c r="D71" s="8" t="s">
        <v>475</v>
      </c>
      <c r="E71" s="8" t="s">
        <v>913</v>
      </c>
      <c r="F71" s="8" t="s">
        <v>912</v>
      </c>
      <c r="G71" s="35" t="str">
        <f>var\Pictures&amp;tab\PAO.en[[#This Row],[Code]]&amp;".png"</f>
        <v>C:\Downloads\Project_PAO\pictures\65.png</v>
      </c>
      <c r="H71" s="26" t="s">
        <v>353</v>
      </c>
      <c r="I71" s="26" t="s">
        <v>829</v>
      </c>
      <c r="M71" s="26" t="s">
        <v>840</v>
      </c>
      <c r="N71" s="26" t="s">
        <v>75</v>
      </c>
      <c r="O71" s="26" t="s">
        <v>814</v>
      </c>
      <c r="P71" s="26" t="s">
        <v>74</v>
      </c>
      <c r="Q71" s="26" t="s">
        <v>33</v>
      </c>
    </row>
    <row r="72" spans="1:17" ht="14.4" customHeight="1" x14ac:dyDescent="0.3">
      <c r="A72" s="13">
        <v>66</v>
      </c>
      <c r="B72" s="8" t="str" cm="1">
        <f t="array" ref="B72">TranslateToLiteral(A72,0)</f>
        <v>[h,x]-[h,x]</v>
      </c>
      <c r="C72" s="9" t="s">
        <v>381</v>
      </c>
      <c r="D72" s="2" t="s">
        <v>170</v>
      </c>
      <c r="E72" s="2" t="s">
        <v>571</v>
      </c>
      <c r="F72" s="2"/>
      <c r="G72" s="34" t="str">
        <f>var\Pictures&amp;tab\PAO.en[[#This Row],[Code]]&amp;".png"</f>
        <v>C:\Downloads\Project_PAO\pictures\66.png</v>
      </c>
      <c r="H72" s="26" t="s">
        <v>353</v>
      </c>
      <c r="I72" s="26" t="s">
        <v>829</v>
      </c>
      <c r="M72" s="26" t="s">
        <v>815</v>
      </c>
      <c r="N72" s="26" t="s">
        <v>75</v>
      </c>
      <c r="O72" s="26" t="s">
        <v>811</v>
      </c>
      <c r="P72" s="26" t="s">
        <v>74</v>
      </c>
    </row>
    <row r="73" spans="1:17" ht="14.4" customHeight="1" x14ac:dyDescent="0.3">
      <c r="A73" s="13">
        <v>67</v>
      </c>
      <c r="B73" s="8" t="str" cm="1">
        <f t="array" ref="B73">TranslateToLiteral(A73,0)</f>
        <v>[h,x]-[c,k,i]</v>
      </c>
      <c r="C73" s="9" t="s">
        <v>379</v>
      </c>
      <c r="D73" s="2" t="s">
        <v>572</v>
      </c>
      <c r="E73" s="2" t="s">
        <v>323</v>
      </c>
      <c r="F73" s="2"/>
      <c r="G73" s="34" t="str">
        <f>var\Pictures&amp;tab\PAO.en[[#This Row],[Code]]&amp;".png"</f>
        <v>C:\Downloads\Project_PAO\pictures\67.png</v>
      </c>
      <c r="H73" s="26" t="s">
        <v>353</v>
      </c>
      <c r="I73" s="26" t="s">
        <v>829</v>
      </c>
      <c r="M73" s="26" t="s">
        <v>839</v>
      </c>
      <c r="N73" s="26" t="s">
        <v>75</v>
      </c>
      <c r="O73" s="26" t="s">
        <v>808</v>
      </c>
      <c r="P73" s="26" t="s">
        <v>74</v>
      </c>
    </row>
    <row r="74" spans="1:17" ht="14.4" customHeight="1" x14ac:dyDescent="0.3">
      <c r="A74" s="13">
        <v>68</v>
      </c>
      <c r="B74" s="8" t="str" cm="1">
        <f t="array" ref="B74">TranslateToLiteral(A74,0)</f>
        <v>[h,x]-[p,b]</v>
      </c>
      <c r="C74" s="9" t="s">
        <v>164</v>
      </c>
      <c r="D74" s="2" t="s">
        <v>167</v>
      </c>
      <c r="E74" s="2" t="s">
        <v>166</v>
      </c>
      <c r="F74" s="2"/>
      <c r="G74" s="34" t="str">
        <f>var\Pictures&amp;tab\PAO.en[[#This Row],[Code]]&amp;".png"</f>
        <v>C:\Downloads\Project_PAO\pictures\68.png</v>
      </c>
      <c r="H74" s="26" t="s">
        <v>353</v>
      </c>
      <c r="I74" s="26" t="s">
        <v>829</v>
      </c>
      <c r="M74" s="26" t="s">
        <v>800</v>
      </c>
      <c r="N74" s="26" t="s">
        <v>75</v>
      </c>
      <c r="O74" s="26" t="s">
        <v>812</v>
      </c>
      <c r="P74" s="26" t="s">
        <v>74</v>
      </c>
    </row>
    <row r="75" spans="1:17" ht="14.4" customHeight="1" x14ac:dyDescent="0.3">
      <c r="A75" s="13">
        <v>69</v>
      </c>
      <c r="B75" s="8" t="str" cm="1">
        <f t="array" ref="B75">TranslateToLiteral(A75,0)</f>
        <v>[h,x]-[l,j,y]</v>
      </c>
      <c r="C75" s="9" t="s">
        <v>380</v>
      </c>
      <c r="D75" s="2" t="s">
        <v>277</v>
      </c>
      <c r="E75" s="2" t="s">
        <v>937</v>
      </c>
      <c r="F75" s="2"/>
      <c r="G75" s="34" t="str">
        <f>var\Pictures&amp;tab\PAO.en[[#This Row],[Code]]&amp;".png"</f>
        <v>C:\Downloads\Project_PAO\pictures\69.png</v>
      </c>
      <c r="H75" s="26" t="s">
        <v>353</v>
      </c>
      <c r="I75" s="26" t="s">
        <v>829</v>
      </c>
      <c r="M75" s="26" t="s">
        <v>807</v>
      </c>
      <c r="N75" s="26" t="s">
        <v>75</v>
      </c>
      <c r="O75" s="26" t="s">
        <v>330</v>
      </c>
      <c r="P75" s="26" t="s">
        <v>827</v>
      </c>
      <c r="Q75" s="26" t="s">
        <v>33</v>
      </c>
    </row>
    <row r="76" spans="1:17" ht="14.4" customHeight="1" x14ac:dyDescent="0.3">
      <c r="A76" s="13">
        <v>70</v>
      </c>
      <c r="B76" s="8" t="str" cm="1">
        <f t="array" ref="B76">TranslateToLiteral(A76,0)</f>
        <v>[c,k,i]-[s,z,o]</v>
      </c>
      <c r="C76" s="9" t="s">
        <v>510</v>
      </c>
      <c r="D76" s="9" t="s">
        <v>272</v>
      </c>
      <c r="E76" s="8" t="s">
        <v>511</v>
      </c>
      <c r="F76" s="8" t="s">
        <v>926</v>
      </c>
      <c r="G76" s="35" t="str">
        <f>var\Pictures&amp;tab\PAO.en[[#This Row],[Code]]&amp;".png"</f>
        <v>C:\Downloads\Project_PAO\pictures\70.png</v>
      </c>
      <c r="H76" s="26" t="s">
        <v>358</v>
      </c>
      <c r="I76" s="26" t="s">
        <v>829</v>
      </c>
      <c r="M76" s="26" t="s">
        <v>805</v>
      </c>
      <c r="N76" s="26" t="s">
        <v>75</v>
      </c>
      <c r="O76" s="26" t="s">
        <v>810</v>
      </c>
      <c r="P76" s="26" t="s">
        <v>74</v>
      </c>
      <c r="Q76" s="26" t="s">
        <v>33</v>
      </c>
    </row>
    <row r="77" spans="1:17" ht="14.4" customHeight="1" x14ac:dyDescent="0.3">
      <c r="A77" s="13">
        <v>71</v>
      </c>
      <c r="B77" s="8" t="str" cm="1">
        <f t="array" ref="B77">TranslateToLiteral(A77,0)</f>
        <v>[c,k,i]-[t,d,a]</v>
      </c>
      <c r="C77" s="8" t="s">
        <v>141</v>
      </c>
      <c r="D77" s="8" t="s">
        <v>529</v>
      </c>
      <c r="E77" s="8" t="s">
        <v>525</v>
      </c>
      <c r="F77" s="8"/>
      <c r="G77" s="35" t="str">
        <f>var\Pictures&amp;tab\PAO.en[[#This Row],[Code]]&amp;".png"</f>
        <v>C:\Downloads\Project_PAO\pictures\71.png</v>
      </c>
      <c r="H77" s="26" t="s">
        <v>358</v>
      </c>
      <c r="I77" s="26" t="s">
        <v>829</v>
      </c>
      <c r="M77" s="26" t="s">
        <v>806</v>
      </c>
      <c r="N77" s="26" t="s">
        <v>75</v>
      </c>
      <c r="O77" s="26" t="s">
        <v>810</v>
      </c>
      <c r="P77" s="26" t="s">
        <v>827</v>
      </c>
    </row>
    <row r="78" spans="1:17" ht="14.4" customHeight="1" x14ac:dyDescent="0.3">
      <c r="A78" s="13">
        <v>72</v>
      </c>
      <c r="B78" s="8" t="str" cm="1">
        <f t="array" ref="B78">TranslateToLiteral(A78,0)</f>
        <v>[c,k,i]-[n,m]</v>
      </c>
      <c r="C78" s="9" t="s">
        <v>464</v>
      </c>
      <c r="D78" s="8" t="s">
        <v>327</v>
      </c>
      <c r="E78" s="8" t="s">
        <v>126</v>
      </c>
      <c r="F78" s="8"/>
      <c r="G78" s="35" t="str">
        <f>var\Pictures&amp;tab\PAO.en[[#This Row],[Code]]&amp;".png"</f>
        <v>C:\Downloads\Project_PAO\pictures\72.png</v>
      </c>
      <c r="H78" s="26" t="s">
        <v>358</v>
      </c>
      <c r="I78" s="26" t="s">
        <v>829</v>
      </c>
      <c r="M78" s="26" t="s">
        <v>838</v>
      </c>
      <c r="N78" s="26" t="s">
        <v>75</v>
      </c>
      <c r="O78" s="26" t="s">
        <v>330</v>
      </c>
      <c r="P78" s="26" t="s">
        <v>74</v>
      </c>
    </row>
    <row r="79" spans="1:17" ht="14.4" customHeight="1" x14ac:dyDescent="0.3">
      <c r="A79" s="13">
        <v>73</v>
      </c>
      <c r="B79" s="8" t="str" cm="1">
        <f t="array" ref="B79">TranslateToLiteral(A79,0)</f>
        <v>[c,k,i]-[f,g,e]</v>
      </c>
      <c r="C79" s="9" t="s">
        <v>382</v>
      </c>
      <c r="D79" s="2" t="s">
        <v>573</v>
      </c>
      <c r="E79" s="8" t="s">
        <v>513</v>
      </c>
      <c r="F79" s="8"/>
      <c r="G79" s="35" t="str">
        <f>var\Pictures&amp;tab\PAO.en[[#This Row],[Code]]&amp;".png"</f>
        <v>C:\Downloads\Project_PAO\pictures\73.png</v>
      </c>
      <c r="H79" s="26" t="s">
        <v>358</v>
      </c>
      <c r="I79" s="26" t="s">
        <v>829</v>
      </c>
      <c r="M79" s="26" t="s">
        <v>832</v>
      </c>
      <c r="N79" s="26" t="s">
        <v>75</v>
      </c>
      <c r="O79" s="26" t="s">
        <v>814</v>
      </c>
      <c r="P79" s="26" t="s">
        <v>74</v>
      </c>
    </row>
    <row r="80" spans="1:17" ht="14.4" customHeight="1" x14ac:dyDescent="0.3">
      <c r="A80" s="13">
        <v>74</v>
      </c>
      <c r="B80" s="8" t="str" cm="1">
        <f t="array" ref="B80">TranslateToLiteral(A80,0)</f>
        <v>[c,k,i]-[r,q]</v>
      </c>
      <c r="C80" s="9" t="s">
        <v>399</v>
      </c>
      <c r="D80" s="2" t="s">
        <v>574</v>
      </c>
      <c r="E80" s="2" t="s">
        <v>498</v>
      </c>
      <c r="F80" s="2"/>
      <c r="G80" s="34" t="str">
        <f>var\Pictures&amp;tab\PAO.en[[#This Row],[Code]]&amp;".png"</f>
        <v>C:\Downloads\Project_PAO\pictures\74.png</v>
      </c>
      <c r="H80" s="26" t="s">
        <v>358</v>
      </c>
      <c r="I80" s="26" t="s">
        <v>829</v>
      </c>
      <c r="M80" s="26" t="s">
        <v>802</v>
      </c>
      <c r="N80" s="26" t="s">
        <v>75</v>
      </c>
      <c r="O80" s="26" t="s">
        <v>330</v>
      </c>
      <c r="P80" s="26" t="s">
        <v>74</v>
      </c>
    </row>
    <row r="81" spans="1:17" ht="14.4" customHeight="1" x14ac:dyDescent="0.3">
      <c r="A81" s="13">
        <v>75</v>
      </c>
      <c r="B81" s="8" t="str" cm="1">
        <f t="array" ref="B81">TranslateToLiteral(A81,0)</f>
        <v>[c,k,i]-[v,w,u]</v>
      </c>
      <c r="C81" s="9" t="s">
        <v>394</v>
      </c>
      <c r="D81" s="2" t="s">
        <v>538</v>
      </c>
      <c r="E81" s="8" t="s">
        <v>537</v>
      </c>
      <c r="F81" s="8" t="s">
        <v>925</v>
      </c>
      <c r="G81" s="35" t="str">
        <f>var\Pictures&amp;tab\PAO.en[[#This Row],[Code]]&amp;".png"</f>
        <v>C:\Downloads\Project_PAO\pictures\75.png</v>
      </c>
      <c r="H81" s="26" t="s">
        <v>358</v>
      </c>
      <c r="I81" s="26" t="s">
        <v>829</v>
      </c>
      <c r="M81" s="26" t="s">
        <v>815</v>
      </c>
      <c r="N81" s="26" t="s">
        <v>75</v>
      </c>
      <c r="O81" s="26" t="s">
        <v>814</v>
      </c>
      <c r="P81" s="26" t="s">
        <v>74</v>
      </c>
      <c r="Q81" s="26" t="s">
        <v>33</v>
      </c>
    </row>
    <row r="82" spans="1:17" ht="14.4" customHeight="1" x14ac:dyDescent="0.3">
      <c r="A82" s="13">
        <v>76</v>
      </c>
      <c r="B82" s="8" t="str" cm="1">
        <f t="array" ref="B82">TranslateToLiteral(A82,0)</f>
        <v>[c,k,i]-[h,x]</v>
      </c>
      <c r="C82" s="9" t="s">
        <v>417</v>
      </c>
      <c r="D82" s="8" t="s">
        <v>835</v>
      </c>
      <c r="E82" s="2" t="s">
        <v>915</v>
      </c>
      <c r="F82" s="2" t="s">
        <v>914</v>
      </c>
      <c r="G82" s="34" t="str">
        <f>var\Pictures&amp;tab\PAO.en[[#This Row],[Code]]&amp;".png"</f>
        <v>C:\Downloads\Project_PAO\pictures\76.png</v>
      </c>
      <c r="H82" s="26" t="s">
        <v>358</v>
      </c>
      <c r="I82" s="26" t="s">
        <v>829</v>
      </c>
      <c r="M82" s="26" t="s">
        <v>836</v>
      </c>
      <c r="N82" s="26" t="s">
        <v>75</v>
      </c>
      <c r="O82" s="26" t="s">
        <v>814</v>
      </c>
      <c r="P82" s="26" t="s">
        <v>74</v>
      </c>
      <c r="Q82" s="26" t="s">
        <v>33</v>
      </c>
    </row>
    <row r="83" spans="1:17" ht="14.4" customHeight="1" x14ac:dyDescent="0.3">
      <c r="A83" s="13">
        <v>77</v>
      </c>
      <c r="B83" s="8" t="str" cm="1">
        <f t="array" ref="B83">TranslateToLiteral(A83,0)</f>
        <v>[c,k,i]-[c,k,i]</v>
      </c>
      <c r="C83" s="9" t="s">
        <v>540</v>
      </c>
      <c r="D83" s="9" t="s">
        <v>542</v>
      </c>
      <c r="E83" s="8" t="s">
        <v>541</v>
      </c>
      <c r="F83" s="8"/>
      <c r="G83" s="35" t="str">
        <f>var\Pictures&amp;tab\PAO.en[[#This Row],[Code]]&amp;".png"</f>
        <v>C:\Downloads\Project_PAO\pictures\77.png</v>
      </c>
      <c r="H83" s="26" t="s">
        <v>358</v>
      </c>
      <c r="I83" s="26" t="s">
        <v>829</v>
      </c>
      <c r="M83" s="26" t="s">
        <v>832</v>
      </c>
      <c r="N83" s="26" t="s">
        <v>75</v>
      </c>
      <c r="O83" s="26" t="s">
        <v>810</v>
      </c>
      <c r="P83" s="26" t="s">
        <v>74</v>
      </c>
    </row>
    <row r="84" spans="1:17" ht="14.4" customHeight="1" x14ac:dyDescent="0.3">
      <c r="A84" s="13">
        <v>78</v>
      </c>
      <c r="B84" s="8" t="str" cm="1">
        <f t="array" ref="B84">TranslateToLiteral(A84,0)</f>
        <v>[c,k,i]-[p,b]</v>
      </c>
      <c r="C84" s="15" t="s">
        <v>261</v>
      </c>
      <c r="D84" s="2" t="s">
        <v>888</v>
      </c>
      <c r="E84" s="2" t="s">
        <v>938</v>
      </c>
      <c r="F84" s="2"/>
      <c r="G84" s="34" t="str">
        <f>var\Pictures&amp;tab\PAO.en[[#This Row],[Code]]&amp;".png"</f>
        <v>C:\Downloads\Project_PAO\pictures\78.png</v>
      </c>
      <c r="H84" s="26" t="s">
        <v>358</v>
      </c>
      <c r="I84" s="26" t="s">
        <v>829</v>
      </c>
      <c r="J84" s="26" t="s">
        <v>33</v>
      </c>
      <c r="M84" s="26" t="s">
        <v>839</v>
      </c>
      <c r="N84" s="26" t="s">
        <v>75</v>
      </c>
      <c r="O84" s="26" t="s">
        <v>330</v>
      </c>
      <c r="P84" s="26" t="s">
        <v>74</v>
      </c>
    </row>
    <row r="85" spans="1:17" ht="14.4" customHeight="1" x14ac:dyDescent="0.3">
      <c r="A85" s="13">
        <v>79</v>
      </c>
      <c r="B85" s="8" t="str" cm="1">
        <f t="array" ref="B85">TranslateToLiteral(A85,0)</f>
        <v>[c,k,i]-[l,j,y]</v>
      </c>
      <c r="C85" s="9" t="s">
        <v>137</v>
      </c>
      <c r="D85" s="8" t="s">
        <v>407</v>
      </c>
      <c r="E85" s="8" t="s">
        <v>492</v>
      </c>
      <c r="F85" s="8"/>
      <c r="G85" s="35" t="str">
        <f>var\Pictures&amp;tab\PAO.en[[#This Row],[Code]]&amp;".png"</f>
        <v>C:\Downloads\Project_PAO\pictures\79.png</v>
      </c>
      <c r="H85" s="26" t="s">
        <v>358</v>
      </c>
      <c r="I85" s="26" t="s">
        <v>829</v>
      </c>
      <c r="J85" s="26" t="s">
        <v>33</v>
      </c>
      <c r="M85" s="26" t="s">
        <v>839</v>
      </c>
      <c r="N85" s="26" t="s">
        <v>75</v>
      </c>
      <c r="O85" s="26" t="s">
        <v>813</v>
      </c>
      <c r="P85" s="26" t="s">
        <v>827</v>
      </c>
    </row>
    <row r="86" spans="1:17" ht="14.4" customHeight="1" x14ac:dyDescent="0.3">
      <c r="A86" s="13">
        <v>80</v>
      </c>
      <c r="B86" s="8" t="str" cm="1">
        <f t="array" ref="B86">TranslateToLiteral(A86,0)</f>
        <v>[p,b]-[s,z,o]</v>
      </c>
      <c r="C86" s="9" t="s">
        <v>395</v>
      </c>
      <c r="D86" s="2" t="s">
        <v>575</v>
      </c>
      <c r="E86" s="2" t="s">
        <v>131</v>
      </c>
      <c r="F86" s="2"/>
      <c r="G86" s="34" t="str">
        <f>var\Pictures&amp;tab\PAO.en[[#This Row],[Code]]&amp;".png"</f>
        <v>C:\Downloads\Project_PAO\pictures\80.png</v>
      </c>
      <c r="H86" s="26" t="s">
        <v>359</v>
      </c>
      <c r="I86" s="26" t="s">
        <v>829</v>
      </c>
      <c r="M86" s="26" t="s">
        <v>836</v>
      </c>
      <c r="N86" s="26" t="s">
        <v>75</v>
      </c>
      <c r="O86" s="26" t="s">
        <v>812</v>
      </c>
      <c r="P86" s="26" t="s">
        <v>74</v>
      </c>
    </row>
    <row r="87" spans="1:17" ht="14.4" customHeight="1" x14ac:dyDescent="0.3">
      <c r="A87" s="13">
        <v>81</v>
      </c>
      <c r="B87" s="8" t="str" cm="1">
        <f t="array" ref="B87">TranslateToLiteral(A87,0)</f>
        <v>[p,b]-[t,d,a]</v>
      </c>
      <c r="C87" s="9" t="s">
        <v>384</v>
      </c>
      <c r="D87" s="8" t="s">
        <v>440</v>
      </c>
      <c r="E87" s="8" t="s">
        <v>439</v>
      </c>
      <c r="F87" s="8"/>
      <c r="G87" s="35" t="str">
        <f>var\Pictures&amp;tab\PAO.en[[#This Row],[Code]]&amp;".png"</f>
        <v>C:\Downloads\Project_PAO\pictures\81.png</v>
      </c>
      <c r="H87" s="26" t="s">
        <v>359</v>
      </c>
      <c r="I87" s="26" t="s">
        <v>829</v>
      </c>
      <c r="M87" s="26" t="s">
        <v>840</v>
      </c>
      <c r="N87" s="26" t="s">
        <v>75</v>
      </c>
      <c r="O87" s="26" t="s">
        <v>809</v>
      </c>
      <c r="P87" s="26" t="s">
        <v>74</v>
      </c>
    </row>
    <row r="88" spans="1:17" ht="14.4" customHeight="1" x14ac:dyDescent="0.3">
      <c r="A88" s="13">
        <v>82</v>
      </c>
      <c r="B88" s="8" t="str" cm="1">
        <f t="array" ref="B88">TranslateToLiteral(A88,0)</f>
        <v>[p,b]-[n,m]</v>
      </c>
      <c r="C88" s="9" t="s">
        <v>301</v>
      </c>
      <c r="D88" s="8" t="s">
        <v>315</v>
      </c>
      <c r="E88" s="8" t="s">
        <v>421</v>
      </c>
      <c r="F88" s="8" t="s">
        <v>923</v>
      </c>
      <c r="G88" s="35" t="str">
        <f>var\Pictures&amp;tab\PAO.en[[#This Row],[Code]]&amp;".png"</f>
        <v>C:\Downloads\Project_PAO\pictures\82.png</v>
      </c>
      <c r="H88" s="26" t="s">
        <v>359</v>
      </c>
      <c r="I88" s="26" t="s">
        <v>829</v>
      </c>
      <c r="M88" s="26" t="s">
        <v>832</v>
      </c>
      <c r="N88" s="26" t="s">
        <v>75</v>
      </c>
      <c r="O88" s="26" t="s">
        <v>810</v>
      </c>
      <c r="P88" s="26" t="s">
        <v>74</v>
      </c>
      <c r="Q88" s="26" t="s">
        <v>33</v>
      </c>
    </row>
    <row r="89" spans="1:17" ht="14.4" customHeight="1" x14ac:dyDescent="0.3">
      <c r="A89" s="13">
        <v>83</v>
      </c>
      <c r="B89" s="8" t="str" cm="1">
        <f t="array" ref="B89">TranslateToLiteral(A89,0)</f>
        <v>[p,b]-[f,g,e]</v>
      </c>
      <c r="C89" s="9" t="s">
        <v>396</v>
      </c>
      <c r="D89" s="2" t="s">
        <v>530</v>
      </c>
      <c r="E89" s="2" t="s">
        <v>134</v>
      </c>
      <c r="F89" s="2"/>
      <c r="G89" s="34" t="str">
        <f>var\Pictures&amp;tab\PAO.en[[#This Row],[Code]]&amp;".png"</f>
        <v>C:\Downloads\Project_PAO\pictures\83.png</v>
      </c>
      <c r="H89" s="26" t="s">
        <v>359</v>
      </c>
      <c r="I89" s="26" t="s">
        <v>829</v>
      </c>
      <c r="M89" s="26" t="s">
        <v>832</v>
      </c>
      <c r="N89" s="26" t="s">
        <v>75</v>
      </c>
      <c r="O89" s="26" t="s">
        <v>330</v>
      </c>
      <c r="P89" s="26" t="s">
        <v>74</v>
      </c>
    </row>
    <row r="90" spans="1:17" ht="14.4" customHeight="1" x14ac:dyDescent="0.3">
      <c r="A90" s="13">
        <v>84</v>
      </c>
      <c r="B90" s="8" t="str" cm="1">
        <f t="array" ref="B90">TranslateToLiteral(A90,0)</f>
        <v>[p,b]-[r,q]</v>
      </c>
      <c r="C90" s="9" t="s">
        <v>412</v>
      </c>
      <c r="D90" s="2" t="s">
        <v>441</v>
      </c>
      <c r="E90" s="2" t="s">
        <v>118</v>
      </c>
      <c r="F90" s="2"/>
      <c r="G90" s="34" t="str">
        <f>var\Pictures&amp;tab\PAO.en[[#This Row],[Code]]&amp;".png"</f>
        <v>C:\Downloads\Project_PAO\pictures\84.png</v>
      </c>
      <c r="H90" s="26" t="s">
        <v>359</v>
      </c>
      <c r="I90" s="26" t="s">
        <v>829</v>
      </c>
      <c r="M90" s="26" t="s">
        <v>807</v>
      </c>
      <c r="N90" s="26" t="s">
        <v>75</v>
      </c>
      <c r="O90" s="26" t="s">
        <v>330</v>
      </c>
      <c r="P90" s="26" t="s">
        <v>74</v>
      </c>
    </row>
    <row r="91" spans="1:17" ht="14.4" customHeight="1" x14ac:dyDescent="0.3">
      <c r="A91" s="13">
        <v>85</v>
      </c>
      <c r="B91" s="8" t="str" cm="1">
        <f t="array" ref="B91">TranslateToLiteral(A91,0)</f>
        <v>[p,b]-[v,w,u]</v>
      </c>
      <c r="C91" s="9" t="s">
        <v>385</v>
      </c>
      <c r="D91" s="2" t="s">
        <v>576</v>
      </c>
      <c r="E91" s="2" t="s">
        <v>532</v>
      </c>
      <c r="F91" s="2" t="s">
        <v>922</v>
      </c>
      <c r="G91" s="34" t="str">
        <f>var\Pictures&amp;tab\PAO.en[[#This Row],[Code]]&amp;".png"</f>
        <v>C:\Downloads\Project_PAO\pictures\85.png</v>
      </c>
      <c r="H91" s="26" t="s">
        <v>359</v>
      </c>
      <c r="I91" s="26" t="s">
        <v>829</v>
      </c>
      <c r="M91" s="26" t="s">
        <v>832</v>
      </c>
      <c r="N91" s="26" t="s">
        <v>75</v>
      </c>
      <c r="O91" s="26" t="s">
        <v>330</v>
      </c>
      <c r="P91" s="26" t="s">
        <v>74</v>
      </c>
      <c r="Q91" s="26" t="s">
        <v>33</v>
      </c>
    </row>
    <row r="92" spans="1:17" ht="14.4" customHeight="1" x14ac:dyDescent="0.3">
      <c r="A92" s="13">
        <v>86</v>
      </c>
      <c r="B92" s="8" t="str" cm="1">
        <f t="array" ref="B92">TranslateToLiteral(A92,0)</f>
        <v>[p,b]-[h,x]</v>
      </c>
      <c r="C92" s="9" t="s">
        <v>884</v>
      </c>
      <c r="D92" s="8" t="s">
        <v>885</v>
      </c>
      <c r="E92" s="8" t="s">
        <v>124</v>
      </c>
      <c r="F92" s="8"/>
      <c r="G92" s="35" t="str">
        <f>var\Pictures&amp;tab\PAO.en[[#This Row],[Code]]&amp;".png"</f>
        <v>C:\Downloads\Project_PAO\pictures\86.png</v>
      </c>
      <c r="H92" s="26" t="s">
        <v>359</v>
      </c>
      <c r="I92" s="26" t="s">
        <v>829</v>
      </c>
      <c r="M92" s="26" t="s">
        <v>805</v>
      </c>
      <c r="N92" s="26" t="s">
        <v>75</v>
      </c>
      <c r="O92" s="26" t="s">
        <v>810</v>
      </c>
      <c r="P92" s="26" t="s">
        <v>74</v>
      </c>
    </row>
    <row r="93" spans="1:17" ht="14.4" customHeight="1" x14ac:dyDescent="0.3">
      <c r="A93" s="13">
        <v>87</v>
      </c>
      <c r="B93" s="8" t="str" cm="1">
        <f t="array" ref="B93">TranslateToLiteral(A93,0)</f>
        <v>[p,b]-[c,k,i]</v>
      </c>
      <c r="C93" s="9" t="s">
        <v>401</v>
      </c>
      <c r="D93" s="2" t="s">
        <v>442</v>
      </c>
      <c r="E93" s="2" t="s">
        <v>577</v>
      </c>
      <c r="F93" s="2"/>
      <c r="G93" s="34" t="str">
        <f>var\Pictures&amp;tab\PAO.en[[#This Row],[Code]]&amp;".png"</f>
        <v>C:\Downloads\Project_PAO\pictures\87.png</v>
      </c>
      <c r="H93" s="26" t="s">
        <v>359</v>
      </c>
      <c r="I93" s="26" t="s">
        <v>829</v>
      </c>
      <c r="M93" s="26" t="s">
        <v>807</v>
      </c>
      <c r="N93" s="26" t="s">
        <v>75</v>
      </c>
      <c r="O93" s="26" t="s">
        <v>812</v>
      </c>
      <c r="P93" s="26" t="s">
        <v>74</v>
      </c>
    </row>
    <row r="94" spans="1:17" ht="14.4" customHeight="1" x14ac:dyDescent="0.3">
      <c r="A94" s="13">
        <v>88</v>
      </c>
      <c r="B94" s="8" t="str" cm="1">
        <f t="array" ref="B94">TranslateToLiteral(A94,0)</f>
        <v>[p,b]-[p,b]</v>
      </c>
      <c r="C94" s="9" t="s">
        <v>187</v>
      </c>
      <c r="D94" s="2" t="s">
        <v>578</v>
      </c>
      <c r="E94" s="2" t="s">
        <v>579</v>
      </c>
      <c r="F94" s="2"/>
      <c r="G94" s="34" t="str">
        <f>var\Pictures&amp;tab\PAO.en[[#This Row],[Code]]&amp;".png"</f>
        <v>C:\Downloads\Project_PAO\pictures\88.png</v>
      </c>
      <c r="H94" s="26" t="s">
        <v>359</v>
      </c>
      <c r="I94" s="26" t="s">
        <v>829</v>
      </c>
      <c r="M94" s="26" t="s">
        <v>815</v>
      </c>
      <c r="N94" s="26" t="s">
        <v>75</v>
      </c>
      <c r="O94" s="26" t="s">
        <v>810</v>
      </c>
      <c r="P94" s="26" t="s">
        <v>827</v>
      </c>
      <c r="Q94" s="26" t="s">
        <v>33</v>
      </c>
    </row>
    <row r="95" spans="1:17" ht="14.4" customHeight="1" x14ac:dyDescent="0.3">
      <c r="A95" s="13">
        <v>89</v>
      </c>
      <c r="B95" s="8" t="str" cm="1">
        <f t="array" ref="B95">TranslateToLiteral(A95,0)</f>
        <v>[p,b]-[l,j,y]</v>
      </c>
      <c r="C95" s="9" t="s">
        <v>400</v>
      </c>
      <c r="D95" s="2" t="s">
        <v>486</v>
      </c>
      <c r="E95" s="2" t="s">
        <v>520</v>
      </c>
      <c r="F95" s="2"/>
      <c r="G95" s="34" t="str">
        <f>var\Pictures&amp;tab\PAO.en[[#This Row],[Code]]&amp;".png"</f>
        <v>C:\Downloads\Project_PAO\pictures\89.png</v>
      </c>
      <c r="H95" s="26" t="s">
        <v>359</v>
      </c>
      <c r="I95" s="26" t="s">
        <v>829</v>
      </c>
      <c r="M95" s="26" t="s">
        <v>838</v>
      </c>
      <c r="N95" s="26" t="s">
        <v>75</v>
      </c>
      <c r="O95" s="26" t="s">
        <v>812</v>
      </c>
      <c r="P95" s="26" t="s">
        <v>827</v>
      </c>
    </row>
    <row r="96" spans="1:17" ht="14.4" customHeight="1" x14ac:dyDescent="0.3">
      <c r="A96" s="13">
        <v>90</v>
      </c>
      <c r="B96" s="8" t="str" cm="1">
        <f t="array" ref="B96">TranslateToLiteral(A96,0)</f>
        <v>[l,j,y]-[s,z,o]</v>
      </c>
      <c r="C96" s="9" t="s">
        <v>251</v>
      </c>
      <c r="D96" s="2" t="s">
        <v>438</v>
      </c>
      <c r="E96" s="2" t="s">
        <v>279</v>
      </c>
      <c r="F96" s="2"/>
      <c r="G96" s="34" t="str">
        <f>var\Pictures&amp;tab\PAO.en[[#This Row],[Code]]&amp;".png"</f>
        <v>C:\Downloads\Project_PAO\pictures\90.png</v>
      </c>
      <c r="H96" s="26" t="s">
        <v>356</v>
      </c>
      <c r="I96" s="26" t="s">
        <v>829</v>
      </c>
      <c r="K96" s="26" t="s">
        <v>33</v>
      </c>
      <c r="M96" s="26" t="s">
        <v>801</v>
      </c>
      <c r="N96" s="26" t="s">
        <v>75</v>
      </c>
      <c r="O96" s="26" t="s">
        <v>811</v>
      </c>
      <c r="P96" s="26" t="s">
        <v>827</v>
      </c>
    </row>
    <row r="97" spans="1:17" ht="14.4" customHeight="1" x14ac:dyDescent="0.3">
      <c r="A97" s="13">
        <v>91</v>
      </c>
      <c r="B97" s="8" t="str" cm="1">
        <f t="array" ref="B97">TranslateToLiteral(A97,0)</f>
        <v>[l,j,y]-[t,d,a]</v>
      </c>
      <c r="C97" s="9" t="s">
        <v>476</v>
      </c>
      <c r="D97" s="2" t="s">
        <v>107</v>
      </c>
      <c r="E97" s="2" t="s">
        <v>477</v>
      </c>
      <c r="F97" s="2" t="s">
        <v>921</v>
      </c>
      <c r="G97" s="34" t="str">
        <f>var\Pictures&amp;tab\PAO.en[[#This Row],[Code]]&amp;".png"</f>
        <v>C:\Downloads\Project_PAO\pictures\91.png</v>
      </c>
      <c r="H97" s="26" t="s">
        <v>356</v>
      </c>
      <c r="I97" s="26" t="s">
        <v>829</v>
      </c>
      <c r="J97" s="26" t="s">
        <v>33</v>
      </c>
      <c r="K97" s="26" t="s">
        <v>33</v>
      </c>
      <c r="M97" s="26" t="s">
        <v>800</v>
      </c>
      <c r="N97" s="26" t="s">
        <v>75</v>
      </c>
      <c r="O97" s="26" t="s">
        <v>810</v>
      </c>
      <c r="P97" s="26" t="s">
        <v>827</v>
      </c>
      <c r="Q97" s="26" t="s">
        <v>33</v>
      </c>
    </row>
    <row r="98" spans="1:17" ht="14.4" customHeight="1" x14ac:dyDescent="0.3">
      <c r="A98" s="13">
        <v>92</v>
      </c>
      <c r="B98" s="8" t="str" cm="1">
        <f t="array" ref="B98">TranslateToLiteral(A98,0)</f>
        <v>[l,j,y]-[n,m]</v>
      </c>
      <c r="C98" s="9" t="s">
        <v>526</v>
      </c>
      <c r="D98" s="2" t="s">
        <v>514</v>
      </c>
      <c r="E98" s="2" t="s">
        <v>580</v>
      </c>
      <c r="F98" s="2"/>
      <c r="G98" s="34" t="str">
        <f>var\Pictures&amp;tab\PAO.en[[#This Row],[Code]]&amp;".png"</f>
        <v>C:\Downloads\Project_PAO\pictures\92.png</v>
      </c>
      <c r="H98" s="26" t="s">
        <v>356</v>
      </c>
      <c r="I98" s="26" t="s">
        <v>829</v>
      </c>
      <c r="K98" s="26" t="s">
        <v>33</v>
      </c>
      <c r="L98" s="26" t="s">
        <v>33</v>
      </c>
      <c r="M98" s="26" t="s">
        <v>832</v>
      </c>
      <c r="N98" s="26" t="s">
        <v>75</v>
      </c>
      <c r="O98" s="26" t="s">
        <v>812</v>
      </c>
      <c r="P98" s="26" t="s">
        <v>827</v>
      </c>
    </row>
    <row r="99" spans="1:17" ht="14.4" customHeight="1" x14ac:dyDescent="0.3">
      <c r="A99" s="13">
        <v>93</v>
      </c>
      <c r="B99" s="8" t="str" cm="1">
        <f t="array" ref="B99">TranslateToLiteral(A99,0)</f>
        <v>[l,j,y]-[f,g,e]</v>
      </c>
      <c r="C99" s="15" t="s">
        <v>494</v>
      </c>
      <c r="D99" s="2" t="s">
        <v>585</v>
      </c>
      <c r="E99" s="2" t="s">
        <v>916</v>
      </c>
      <c r="F99" s="2" t="s">
        <v>917</v>
      </c>
      <c r="G99" s="34" t="str">
        <f>var\Pictures&amp;tab\PAO.en[[#This Row],[Code]]&amp;".png"</f>
        <v>C:\Downloads\Project_PAO\pictures\93.png</v>
      </c>
      <c r="H99" s="26" t="s">
        <v>356</v>
      </c>
      <c r="I99" s="26" t="s">
        <v>829</v>
      </c>
      <c r="K99" s="26" t="s">
        <v>33</v>
      </c>
      <c r="L99" s="26" t="s">
        <v>33</v>
      </c>
      <c r="M99" s="26" t="s">
        <v>840</v>
      </c>
      <c r="N99" s="26" t="s">
        <v>75</v>
      </c>
      <c r="O99" s="26" t="s">
        <v>811</v>
      </c>
      <c r="P99" s="26" t="s">
        <v>74</v>
      </c>
      <c r="Q99" s="26" t="s">
        <v>33</v>
      </c>
    </row>
    <row r="100" spans="1:17" ht="14.4" customHeight="1" x14ac:dyDescent="0.3">
      <c r="A100" s="13">
        <v>94</v>
      </c>
      <c r="B100" s="8" t="str" cm="1">
        <f t="array" ref="B100">TranslateToLiteral(A100,0)</f>
        <v>[l,j,y]-[r,q]</v>
      </c>
      <c r="C100" s="9" t="s">
        <v>249</v>
      </c>
      <c r="D100" s="2" t="s">
        <v>581</v>
      </c>
      <c r="E100" s="2" t="s">
        <v>834</v>
      </c>
      <c r="F100" s="2"/>
      <c r="G100" s="34" t="str">
        <f>var\Pictures&amp;tab\PAO.en[[#This Row],[Code]]&amp;".png"</f>
        <v>C:\Downloads\Project_PAO\pictures\94.png</v>
      </c>
      <c r="H100" s="26" t="s">
        <v>356</v>
      </c>
      <c r="I100" s="26" t="s">
        <v>829</v>
      </c>
      <c r="K100" s="26" t="s">
        <v>33</v>
      </c>
      <c r="L100" s="26" t="s">
        <v>33</v>
      </c>
      <c r="M100" s="26" t="s">
        <v>807</v>
      </c>
      <c r="N100" s="26" t="s">
        <v>75</v>
      </c>
      <c r="O100" s="26" t="s">
        <v>812</v>
      </c>
      <c r="P100" s="26" t="s">
        <v>74</v>
      </c>
      <c r="Q100" s="26" t="s">
        <v>33</v>
      </c>
    </row>
    <row r="101" spans="1:17" ht="14.4" customHeight="1" x14ac:dyDescent="0.3">
      <c r="A101" s="13">
        <v>95</v>
      </c>
      <c r="B101" s="8" t="str" cm="1">
        <f t="array" ref="B101">TranslateToLiteral(A101,0)</f>
        <v>[l,j,y]-[v,w,u]</v>
      </c>
      <c r="C101" s="8" t="s">
        <v>493</v>
      </c>
      <c r="D101" s="2" t="s">
        <v>496</v>
      </c>
      <c r="E101" s="2" t="s">
        <v>435</v>
      </c>
      <c r="F101" s="2"/>
      <c r="G101" s="34" t="str">
        <f>var\Pictures&amp;tab\PAO.en[[#This Row],[Code]]&amp;".png"</f>
        <v>C:\Downloads\Project_PAO\pictures\95.png</v>
      </c>
      <c r="H101" s="26" t="s">
        <v>356</v>
      </c>
      <c r="I101" s="26" t="s">
        <v>829</v>
      </c>
      <c r="K101" s="26" t="s">
        <v>33</v>
      </c>
      <c r="L101" s="26" t="s">
        <v>33</v>
      </c>
      <c r="M101" s="26" t="s">
        <v>806</v>
      </c>
      <c r="N101" s="26" t="s">
        <v>75</v>
      </c>
      <c r="O101" s="26" t="s">
        <v>810</v>
      </c>
      <c r="P101" s="26" t="s">
        <v>827</v>
      </c>
    </row>
    <row r="102" spans="1:17" ht="14.4" customHeight="1" x14ac:dyDescent="0.3">
      <c r="A102" s="13">
        <v>96</v>
      </c>
      <c r="B102" s="8" t="str" cm="1">
        <f t="array" ref="B102">TranslateToLiteral(A102,0)</f>
        <v>[l,j,y]-[h,x]</v>
      </c>
      <c r="C102" s="9" t="s">
        <v>169</v>
      </c>
      <c r="D102" s="2" t="s">
        <v>437</v>
      </c>
      <c r="E102" s="2" t="s">
        <v>918</v>
      </c>
      <c r="F102" s="2" t="s">
        <v>924</v>
      </c>
      <c r="G102" s="34" t="str">
        <f>var\Pictures&amp;tab\PAO.en[[#This Row],[Code]]&amp;".png"</f>
        <v>C:\Downloads\Project_PAO\pictures\96.png</v>
      </c>
      <c r="H102" s="26" t="s">
        <v>356</v>
      </c>
      <c r="I102" s="26" t="s">
        <v>829</v>
      </c>
      <c r="K102" s="26" t="s">
        <v>33</v>
      </c>
      <c r="M102" s="26" t="s">
        <v>806</v>
      </c>
      <c r="N102" s="26" t="s">
        <v>75</v>
      </c>
      <c r="O102" s="26" t="s">
        <v>813</v>
      </c>
      <c r="P102" s="26" t="s">
        <v>74</v>
      </c>
      <c r="Q102" s="26" t="s">
        <v>33</v>
      </c>
    </row>
    <row r="103" spans="1:17" ht="14.4" customHeight="1" x14ac:dyDescent="0.3">
      <c r="A103" s="13">
        <v>97</v>
      </c>
      <c r="B103" s="8" t="str" cm="1">
        <f t="array" ref="B103">TranslateToLiteral(A103,0)</f>
        <v>[l,j,y]-[c,k,i]</v>
      </c>
      <c r="C103" s="8" t="s">
        <v>156</v>
      </c>
      <c r="D103" s="8" t="s">
        <v>934</v>
      </c>
      <c r="E103" s="2" t="s">
        <v>582</v>
      </c>
      <c r="F103" s="2" t="s">
        <v>919</v>
      </c>
      <c r="G103" s="34" t="str">
        <f>var\Pictures&amp;tab\PAO.en[[#This Row],[Code]]&amp;".png"</f>
        <v>C:\Downloads\Project_PAO\pictures\97.png</v>
      </c>
      <c r="H103" s="26" t="s">
        <v>356</v>
      </c>
      <c r="I103" s="26" t="s">
        <v>829</v>
      </c>
      <c r="K103" s="26" t="s">
        <v>33</v>
      </c>
      <c r="L103" s="26" t="s">
        <v>33</v>
      </c>
      <c r="M103" s="26" t="s">
        <v>815</v>
      </c>
      <c r="N103" s="26" t="s">
        <v>75</v>
      </c>
      <c r="O103" s="26" t="s">
        <v>330</v>
      </c>
      <c r="P103" s="26" t="s">
        <v>74</v>
      </c>
      <c r="Q103" s="26" t="s">
        <v>33</v>
      </c>
    </row>
    <row r="104" spans="1:17" ht="14.4" customHeight="1" x14ac:dyDescent="0.3">
      <c r="A104" s="13">
        <v>98</v>
      </c>
      <c r="B104" s="8" t="str" cm="1">
        <f t="array" ref="B104">TranslateToLiteral(A104,0)</f>
        <v>[l,j,y]-[p,b]</v>
      </c>
      <c r="C104" s="9" t="s">
        <v>182</v>
      </c>
      <c r="D104" s="2" t="s">
        <v>837</v>
      </c>
      <c r="E104" s="2" t="s">
        <v>583</v>
      </c>
      <c r="F104" s="2"/>
      <c r="G104" s="34" t="str">
        <f>var\Pictures&amp;tab\PAO.en[[#This Row],[Code]]&amp;".png"</f>
        <v>C:\Downloads\Project_PAO\pictures\98.png</v>
      </c>
      <c r="H104" s="26" t="s">
        <v>356</v>
      </c>
      <c r="I104" s="26" t="s">
        <v>829</v>
      </c>
      <c r="K104" s="26" t="s">
        <v>33</v>
      </c>
      <c r="L104" s="26" t="s">
        <v>33</v>
      </c>
      <c r="M104" s="26" t="s">
        <v>801</v>
      </c>
      <c r="N104" s="26" t="s">
        <v>75</v>
      </c>
      <c r="O104" s="26" t="s">
        <v>808</v>
      </c>
      <c r="P104" s="26" t="s">
        <v>827</v>
      </c>
      <c r="Q104" s="26" t="s">
        <v>33</v>
      </c>
    </row>
    <row r="105" spans="1:17" ht="14.4" customHeight="1" x14ac:dyDescent="0.3">
      <c r="A105" s="13">
        <v>99</v>
      </c>
      <c r="B105" s="8" t="str" cm="1">
        <f t="array" ref="B105">TranslateToLiteral(A105,0)</f>
        <v>[l,j,y]-[l,j,y]</v>
      </c>
      <c r="C105" s="9" t="s">
        <v>254</v>
      </c>
      <c r="D105" s="2" t="s">
        <v>447</v>
      </c>
      <c r="E105" s="2" t="s">
        <v>321</v>
      </c>
      <c r="F105" s="2" t="s">
        <v>920</v>
      </c>
      <c r="G105" s="34" t="str">
        <f>var\Pictures&amp;tab\PAO.en[[#This Row],[Code]]&amp;".png"</f>
        <v>C:\Downloads\Project_PAO\pictures\99.png</v>
      </c>
      <c r="H105" s="26" t="s">
        <v>356</v>
      </c>
      <c r="I105" s="26" t="s">
        <v>829</v>
      </c>
      <c r="K105" s="26" t="s">
        <v>33</v>
      </c>
      <c r="L105" s="26" t="s">
        <v>33</v>
      </c>
      <c r="M105" s="26" t="s">
        <v>800</v>
      </c>
      <c r="N105" s="26" t="s">
        <v>75</v>
      </c>
      <c r="O105" s="26" t="s">
        <v>809</v>
      </c>
      <c r="P105" s="26" t="s">
        <v>827</v>
      </c>
      <c r="Q105" s="26" t="s">
        <v>33</v>
      </c>
    </row>
  </sheetData>
  <phoneticPr fontId="4" type="noConversion"/>
  <dataValidations count="4">
    <dataValidation type="list" allowBlank="1" showInputMessage="1" showErrorMessage="1" sqref="H6:H105" xr:uid="{A8889CD7-2039-4462-9D36-260DBCF99AAF}">
      <formula1>rng\Persons</formula1>
    </dataValidation>
    <dataValidation type="list" allowBlank="1" showInputMessage="1" showErrorMessage="1" sqref="M6:M105" xr:uid="{BCBCEBE9-B122-4A2C-854A-77AF65DF1687}">
      <formula1>rng\Objects</formula1>
    </dataValidation>
    <dataValidation type="list" allowBlank="1" showInputMessage="1" showErrorMessage="1" sqref="O6:O105" xr:uid="{6282F906-F708-4950-97C5-70E3FBBD3064}">
      <formula1>rng\Actions</formula1>
    </dataValidation>
    <dataValidation type="list" allowBlank="1" showInputMessage="1" showErrorMessage="1" sqref="N6:N105 I6:I105 P6:P105" xr:uid="{33B2C138-5BA9-4760-8BE4-4DAF9C83453C}">
      <formula1>rng\Derivation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8BFE1-792F-4C38-8623-37DD62A1BDDB}">
  <sheetPr codeName="Sheet11"/>
  <dimension ref="A1:H19"/>
  <sheetViews>
    <sheetView workbookViewId="0">
      <selection activeCell="I14" sqref="I14"/>
    </sheetView>
  </sheetViews>
  <sheetFormatPr defaultRowHeight="14.4" x14ac:dyDescent="0.3"/>
  <cols>
    <col min="1" max="1" width="11.5546875" style="3" customWidth="1"/>
    <col min="2" max="2" width="17.5546875" customWidth="1"/>
    <col min="3" max="3" width="21.21875" style="3" customWidth="1"/>
    <col min="4" max="4" width="16.44140625" style="3" customWidth="1"/>
    <col min="5" max="5" width="13.109375" style="3" customWidth="1"/>
    <col min="6" max="6" width="11" style="3" customWidth="1"/>
    <col min="7" max="7" width="11.5546875" style="3" customWidth="1"/>
    <col min="8" max="8" width="15.5546875" style="3" customWidth="1"/>
  </cols>
  <sheetData>
    <row r="1" spans="1:8" x14ac:dyDescent="0.3">
      <c r="A1" s="4" t="s">
        <v>192</v>
      </c>
      <c r="B1" s="5" t="s">
        <v>193</v>
      </c>
      <c r="C1" s="6" t="s">
        <v>194</v>
      </c>
      <c r="D1" s="6" t="s">
        <v>195</v>
      </c>
      <c r="E1" s="5" t="s">
        <v>196</v>
      </c>
      <c r="F1" s="5" t="s">
        <v>197</v>
      </c>
      <c r="G1" s="5" t="s">
        <v>198</v>
      </c>
      <c r="H1" s="4" t="s">
        <v>588</v>
      </c>
    </row>
    <row r="2" spans="1:8" x14ac:dyDescent="0.3">
      <c r="A2" s="3">
        <v>0</v>
      </c>
      <c r="B2" s="3" t="s">
        <v>58</v>
      </c>
      <c r="C2" s="3" t="s">
        <v>67</v>
      </c>
      <c r="D2" s="3" t="s">
        <v>16</v>
      </c>
      <c r="E2" s="3" t="s">
        <v>3</v>
      </c>
      <c r="F2" s="3" t="s">
        <v>70</v>
      </c>
      <c r="G2" s="3" t="s">
        <v>3</v>
      </c>
      <c r="H2" s="3" t="s">
        <v>589</v>
      </c>
    </row>
    <row r="3" spans="1:8" x14ac:dyDescent="0.3">
      <c r="A3" s="3">
        <v>1</v>
      </c>
      <c r="B3" s="3" t="s">
        <v>59</v>
      </c>
      <c r="C3" s="3" t="s">
        <v>4</v>
      </c>
      <c r="D3" s="3" t="s">
        <v>12</v>
      </c>
      <c r="E3" s="3" t="s">
        <v>4</v>
      </c>
      <c r="F3" s="3" t="s">
        <v>12</v>
      </c>
      <c r="G3" s="3" t="s">
        <v>4</v>
      </c>
      <c r="H3" s="3" t="s">
        <v>590</v>
      </c>
    </row>
    <row r="4" spans="1:8" x14ac:dyDescent="0.3">
      <c r="A4" s="3">
        <v>2</v>
      </c>
      <c r="B4" s="3" t="s">
        <v>5</v>
      </c>
      <c r="C4" s="3" t="s">
        <v>5</v>
      </c>
      <c r="D4" s="3" t="s">
        <v>11</v>
      </c>
      <c r="E4" s="3" t="s">
        <v>5</v>
      </c>
      <c r="F4" s="3" t="s">
        <v>13</v>
      </c>
      <c r="G4" s="3" t="s">
        <v>5</v>
      </c>
      <c r="H4" s="3" t="s">
        <v>591</v>
      </c>
    </row>
    <row r="5" spans="1:8" x14ac:dyDescent="0.3">
      <c r="A5" s="3">
        <v>3</v>
      </c>
      <c r="B5" s="3" t="s">
        <v>6</v>
      </c>
      <c r="C5" s="3" t="s">
        <v>6</v>
      </c>
      <c r="D5" s="3" t="s">
        <v>10</v>
      </c>
      <c r="E5" s="3" t="s">
        <v>6</v>
      </c>
      <c r="F5" s="3" t="s">
        <v>21</v>
      </c>
      <c r="G5" s="3" t="s">
        <v>6</v>
      </c>
      <c r="H5" s="3" t="s">
        <v>592</v>
      </c>
    </row>
    <row r="6" spans="1:8" x14ac:dyDescent="0.3">
      <c r="A6" s="3">
        <v>4</v>
      </c>
      <c r="B6" s="3" t="s">
        <v>7</v>
      </c>
      <c r="C6" s="3" t="s">
        <v>7</v>
      </c>
      <c r="D6" s="3" t="s">
        <v>9</v>
      </c>
      <c r="E6" s="3" t="s">
        <v>7</v>
      </c>
      <c r="F6" s="3" t="s">
        <v>16</v>
      </c>
      <c r="G6" s="3" t="s">
        <v>7</v>
      </c>
      <c r="H6" s="3" t="s">
        <v>593</v>
      </c>
    </row>
    <row r="7" spans="1:8" x14ac:dyDescent="0.3">
      <c r="A7" s="3">
        <v>5</v>
      </c>
      <c r="B7" s="3" t="s">
        <v>8</v>
      </c>
      <c r="C7" s="3" t="s">
        <v>8</v>
      </c>
      <c r="D7" s="3" t="s">
        <v>13</v>
      </c>
      <c r="E7" s="3" t="s">
        <v>8</v>
      </c>
      <c r="F7" s="3" t="s">
        <v>30</v>
      </c>
      <c r="G7" s="3" t="s">
        <v>8</v>
      </c>
      <c r="H7" s="3" t="s">
        <v>594</v>
      </c>
    </row>
    <row r="8" spans="1:8" x14ac:dyDescent="0.3">
      <c r="A8" s="3">
        <v>6</v>
      </c>
      <c r="B8" s="3" t="s">
        <v>62</v>
      </c>
      <c r="C8" s="3" t="s">
        <v>9</v>
      </c>
      <c r="D8" s="3" t="s">
        <v>3</v>
      </c>
      <c r="E8" s="3" t="s">
        <v>68</v>
      </c>
      <c r="F8" s="3" t="s">
        <v>71</v>
      </c>
      <c r="G8" s="3" t="s">
        <v>68</v>
      </c>
      <c r="H8" s="3" t="s">
        <v>595</v>
      </c>
    </row>
    <row r="9" spans="1:8" x14ac:dyDescent="0.3">
      <c r="A9" s="3">
        <v>7</v>
      </c>
      <c r="B9" s="3" t="s">
        <v>60</v>
      </c>
      <c r="C9" s="3" t="s">
        <v>66</v>
      </c>
      <c r="D9" s="3" t="s">
        <v>14</v>
      </c>
      <c r="E9" s="3" t="s">
        <v>23</v>
      </c>
      <c r="F9" s="3" t="s">
        <v>72</v>
      </c>
      <c r="G9" s="3" t="s">
        <v>23</v>
      </c>
      <c r="H9" s="3" t="s">
        <v>596</v>
      </c>
    </row>
    <row r="10" spans="1:8" x14ac:dyDescent="0.3">
      <c r="A10" s="3">
        <v>8</v>
      </c>
      <c r="B10" s="3" t="s">
        <v>61</v>
      </c>
      <c r="C10" s="3" t="s">
        <v>65</v>
      </c>
      <c r="D10" s="3" t="s">
        <v>15</v>
      </c>
      <c r="E10" s="3" t="s">
        <v>69</v>
      </c>
      <c r="F10" s="3" t="s">
        <v>73</v>
      </c>
      <c r="G10" s="3" t="s">
        <v>69</v>
      </c>
      <c r="H10" s="3" t="s">
        <v>63</v>
      </c>
    </row>
    <row r="11" spans="1:8" x14ac:dyDescent="0.3">
      <c r="A11" s="3">
        <v>9</v>
      </c>
      <c r="B11" s="3" t="s">
        <v>63</v>
      </c>
      <c r="C11" s="3" t="s">
        <v>64</v>
      </c>
      <c r="D11" s="3" t="s">
        <v>5</v>
      </c>
      <c r="E11" s="3" t="s">
        <v>11</v>
      </c>
      <c r="F11" s="3" t="s">
        <v>74</v>
      </c>
      <c r="G11" s="3" t="s">
        <v>11</v>
      </c>
      <c r="H11" s="3" t="s">
        <v>597</v>
      </c>
    </row>
    <row r="12" spans="1:8" x14ac:dyDescent="0.3">
      <c r="A12" s="3" t="s">
        <v>199</v>
      </c>
      <c r="B12" s="3" t="s">
        <v>200</v>
      </c>
      <c r="C12" s="3" t="s">
        <v>201</v>
      </c>
    </row>
    <row r="19" spans="6:6" x14ac:dyDescent="0.3">
      <c r="F19" s="3" t="s">
        <v>21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83296-77FB-4D2F-826B-0C65E93D1426}">
  <sheetPr codeName="Sheet10"/>
  <dimension ref="A1:M36"/>
  <sheetViews>
    <sheetView workbookViewId="0">
      <selection activeCell="B5" sqref="B5"/>
    </sheetView>
  </sheetViews>
  <sheetFormatPr defaultRowHeight="14.4" x14ac:dyDescent="0.3"/>
  <cols>
    <col min="1" max="1" width="8.88671875" style="15"/>
    <col min="2" max="2" width="10.88671875" style="15" customWidth="1"/>
    <col min="3" max="3" width="15.5546875" style="15" customWidth="1"/>
    <col min="4" max="16384" width="8.88671875" style="10"/>
  </cols>
  <sheetData>
    <row r="1" spans="1:13" s="18" customFormat="1" x14ac:dyDescent="0.3">
      <c r="A1" s="18" t="s">
        <v>189</v>
      </c>
      <c r="B1" s="18" t="s">
        <v>190</v>
      </c>
      <c r="C1" s="18" t="s">
        <v>191</v>
      </c>
    </row>
    <row r="2" spans="1:13" x14ac:dyDescent="0.3">
      <c r="A2" s="19" t="s">
        <v>12</v>
      </c>
      <c r="B2" s="20">
        <v>8.9099999999999999E-2</v>
      </c>
      <c r="C2" s="21">
        <v>8.1670000000000006E-2</v>
      </c>
      <c r="F2" s="22"/>
      <c r="G2" s="23"/>
      <c r="H2" s="22"/>
      <c r="I2" s="24"/>
      <c r="J2" s="22"/>
      <c r="K2" s="25"/>
      <c r="L2" s="22"/>
      <c r="M2" s="25"/>
    </row>
    <row r="3" spans="1:13" x14ac:dyDescent="0.3">
      <c r="A3" s="19" t="s">
        <v>17</v>
      </c>
      <c r="B3" s="20">
        <v>9.9000000000000008E-3</v>
      </c>
      <c r="C3" s="21">
        <v>0</v>
      </c>
      <c r="F3" s="22"/>
      <c r="G3" s="23"/>
      <c r="H3" s="22"/>
      <c r="I3" s="23"/>
      <c r="J3" s="22"/>
      <c r="K3" s="25"/>
      <c r="L3" s="22"/>
      <c r="M3" s="25"/>
    </row>
    <row r="4" spans="1:13" x14ac:dyDescent="0.3">
      <c r="A4" s="19" t="s">
        <v>11</v>
      </c>
      <c r="B4" s="20">
        <v>1.47E-2</v>
      </c>
      <c r="C4" s="21">
        <v>1.4919999999999999E-2</v>
      </c>
      <c r="F4" s="22"/>
      <c r="G4" s="23"/>
      <c r="H4" s="22"/>
      <c r="I4" s="23"/>
      <c r="J4" s="22"/>
      <c r="K4" s="25"/>
      <c r="L4" s="22"/>
      <c r="M4" s="25"/>
    </row>
    <row r="5" spans="1:13" x14ac:dyDescent="0.3">
      <c r="A5" s="19" t="s">
        <v>10</v>
      </c>
      <c r="B5" s="20">
        <v>3.9600000000000003E-2</v>
      </c>
      <c r="C5" s="21">
        <v>2.7820000000000001E-2</v>
      </c>
      <c r="F5" s="22"/>
      <c r="G5" s="23"/>
      <c r="H5" s="22"/>
      <c r="I5" s="23"/>
      <c r="J5" s="22"/>
      <c r="K5" s="25"/>
      <c r="L5" s="22"/>
      <c r="M5" s="25"/>
    </row>
    <row r="6" spans="1:13" x14ac:dyDescent="0.3">
      <c r="A6" s="19" t="s">
        <v>18</v>
      </c>
      <c r="B6" s="20">
        <v>4.0000000000000001E-3</v>
      </c>
      <c r="C6" s="21">
        <v>0</v>
      </c>
      <c r="F6" s="22"/>
      <c r="G6" s="23"/>
      <c r="H6" s="22"/>
      <c r="I6" s="23"/>
      <c r="J6" s="22"/>
      <c r="K6" s="25"/>
      <c r="L6" s="22"/>
      <c r="M6" s="25"/>
    </row>
    <row r="7" spans="1:13" x14ac:dyDescent="0.3">
      <c r="A7" s="19" t="s">
        <v>9</v>
      </c>
      <c r="B7" s="20">
        <v>3.2500000000000001E-2</v>
      </c>
      <c r="C7" s="21">
        <v>4.2529999999999998E-2</v>
      </c>
      <c r="F7" s="22"/>
      <c r="G7" s="23"/>
      <c r="H7" s="22"/>
      <c r="I7" s="23"/>
      <c r="J7" s="22"/>
      <c r="K7" s="25"/>
      <c r="L7" s="22"/>
      <c r="M7" s="25"/>
    </row>
    <row r="8" spans="1:13" x14ac:dyDescent="0.3">
      <c r="A8" s="19" t="s">
        <v>13</v>
      </c>
      <c r="B8" s="20">
        <v>7.6600000000000001E-2</v>
      </c>
      <c r="C8" s="21">
        <v>0.12701999999999999</v>
      </c>
      <c r="F8" s="22"/>
      <c r="G8" s="23"/>
      <c r="H8" s="22"/>
      <c r="I8" s="23"/>
      <c r="J8" s="22"/>
      <c r="K8" s="25"/>
      <c r="L8" s="22"/>
      <c r="M8" s="25"/>
    </row>
    <row r="9" spans="1:13" x14ac:dyDescent="0.3">
      <c r="A9" s="19" t="s">
        <v>19</v>
      </c>
      <c r="B9" s="20">
        <v>1.11E-2</v>
      </c>
      <c r="C9" s="21">
        <v>0</v>
      </c>
      <c r="F9" s="22"/>
      <c r="G9" s="23"/>
      <c r="H9" s="22"/>
      <c r="I9" s="23"/>
      <c r="J9" s="22"/>
      <c r="K9" s="25"/>
      <c r="L9" s="22"/>
      <c r="M9" s="25"/>
    </row>
    <row r="10" spans="1:13" x14ac:dyDescent="0.3">
      <c r="A10" s="19" t="s">
        <v>20</v>
      </c>
      <c r="B10" s="20">
        <v>3.0000000000000001E-3</v>
      </c>
      <c r="C10" s="21">
        <v>2.2280000000000001E-2</v>
      </c>
      <c r="F10" s="22"/>
      <c r="G10" s="23"/>
      <c r="H10" s="22"/>
      <c r="I10" s="23"/>
      <c r="J10" s="22"/>
      <c r="K10" s="25"/>
      <c r="L10" s="22"/>
      <c r="M10" s="25"/>
    </row>
    <row r="11" spans="1:13" x14ac:dyDescent="0.3">
      <c r="A11" s="19" t="s">
        <v>14</v>
      </c>
      <c r="B11" s="20">
        <v>1.4200000000000001E-2</v>
      </c>
      <c r="C11" s="21">
        <v>2.0150000000000001E-2</v>
      </c>
      <c r="F11" s="22"/>
      <c r="G11" s="23"/>
      <c r="H11" s="22"/>
      <c r="I11" s="23"/>
      <c r="J11" s="22"/>
      <c r="K11" s="25"/>
      <c r="L11" s="22"/>
      <c r="M11" s="25"/>
    </row>
    <row r="12" spans="1:13" x14ac:dyDescent="0.3">
      <c r="A12" s="19" t="s">
        <v>15</v>
      </c>
      <c r="B12" s="20">
        <v>1.0800000000000001E-2</v>
      </c>
      <c r="C12" s="21">
        <v>6.0940000000000001E-2</v>
      </c>
      <c r="F12" s="22"/>
      <c r="G12" s="23"/>
      <c r="H12" s="22"/>
      <c r="I12" s="23"/>
      <c r="J12" s="22"/>
      <c r="K12" s="25"/>
      <c r="L12" s="22"/>
      <c r="M12" s="25"/>
    </row>
    <row r="13" spans="1:13" x14ac:dyDescent="0.3">
      <c r="A13" s="19" t="s">
        <v>21</v>
      </c>
      <c r="B13" s="20">
        <v>8.2100000000000006E-2</v>
      </c>
      <c r="C13" s="21">
        <v>6.966E-2</v>
      </c>
      <c r="F13" s="22"/>
      <c r="G13" s="23"/>
      <c r="H13" s="22"/>
      <c r="I13" s="23"/>
      <c r="J13" s="22"/>
      <c r="K13" s="25"/>
      <c r="L13" s="22"/>
      <c r="M13" s="25"/>
    </row>
    <row r="14" spans="1:13" x14ac:dyDescent="0.3">
      <c r="A14" s="19" t="s">
        <v>22</v>
      </c>
      <c r="B14" s="20">
        <v>2.2800000000000001E-2</v>
      </c>
      <c r="C14" s="21">
        <v>1.5299999999999999E-3</v>
      </c>
      <c r="F14" s="22"/>
      <c r="G14" s="23"/>
      <c r="H14" s="22"/>
      <c r="I14" s="23"/>
      <c r="J14" s="22"/>
      <c r="K14" s="25"/>
      <c r="L14" s="22"/>
      <c r="M14" s="25"/>
    </row>
    <row r="15" spans="1:13" x14ac:dyDescent="0.3">
      <c r="A15" s="19" t="s">
        <v>23</v>
      </c>
      <c r="B15" s="20">
        <v>3.5099999999999999E-2</v>
      </c>
      <c r="C15" s="21">
        <v>7.7200000000000003E-3</v>
      </c>
      <c r="F15" s="22"/>
      <c r="G15" s="23"/>
      <c r="H15" s="22"/>
      <c r="I15" s="23"/>
      <c r="J15" s="22"/>
      <c r="K15" s="25"/>
      <c r="L15" s="22"/>
      <c r="M15" s="25"/>
    </row>
    <row r="16" spans="1:13" x14ac:dyDescent="0.3">
      <c r="A16" s="19" t="s">
        <v>8</v>
      </c>
      <c r="B16" s="20">
        <v>2.1000000000000001E-2</v>
      </c>
      <c r="C16" s="21">
        <v>4.0250000000000001E-2</v>
      </c>
      <c r="F16" s="22"/>
      <c r="G16" s="23"/>
      <c r="H16" s="22"/>
      <c r="I16" s="23"/>
      <c r="J16" s="22"/>
      <c r="K16" s="25"/>
      <c r="L16" s="22"/>
      <c r="M16" s="25"/>
    </row>
    <row r="17" spans="1:13" x14ac:dyDescent="0.3">
      <c r="A17" s="19" t="s">
        <v>24</v>
      </c>
      <c r="B17" s="20">
        <v>1.8200000000000001E-2</v>
      </c>
      <c r="C17" s="21">
        <v>0</v>
      </c>
      <c r="F17" s="22"/>
      <c r="G17" s="23"/>
      <c r="H17" s="22"/>
      <c r="I17" s="23"/>
      <c r="J17" s="22"/>
      <c r="K17" s="25"/>
      <c r="L17" s="22"/>
      <c r="M17" s="25"/>
    </row>
    <row r="18" spans="1:13" x14ac:dyDescent="0.3">
      <c r="A18" s="19" t="s">
        <v>6</v>
      </c>
      <c r="B18" s="20">
        <v>2.8000000000000001E-2</v>
      </c>
      <c r="C18" s="21">
        <v>2.4060000000000002E-2</v>
      </c>
      <c r="F18" s="22"/>
      <c r="G18" s="23"/>
      <c r="H18" s="22"/>
      <c r="I18" s="23"/>
      <c r="J18" s="22"/>
      <c r="K18" s="25"/>
      <c r="L18" s="22"/>
      <c r="M18" s="25"/>
    </row>
    <row r="19" spans="1:13" x14ac:dyDescent="0.3">
      <c r="A19" s="19" t="s">
        <v>5</v>
      </c>
      <c r="B19" s="20">
        <v>5.5199999999999999E-2</v>
      </c>
      <c r="C19" s="21">
        <v>6.7489999999999994E-2</v>
      </c>
      <c r="F19" s="22"/>
      <c r="G19" s="23"/>
      <c r="H19" s="22"/>
      <c r="I19" s="23"/>
      <c r="J19" s="22"/>
      <c r="K19" s="25"/>
      <c r="L19" s="22"/>
      <c r="M19" s="25"/>
    </row>
    <row r="20" spans="1:13" x14ac:dyDescent="0.3">
      <c r="A20" s="19" t="s">
        <v>25</v>
      </c>
      <c r="B20" s="20">
        <v>2E-3</v>
      </c>
      <c r="C20" s="21">
        <v>0</v>
      </c>
      <c r="F20" s="22"/>
      <c r="G20" s="23"/>
      <c r="H20" s="22"/>
      <c r="I20" s="23"/>
      <c r="J20" s="22"/>
      <c r="K20" s="25"/>
      <c r="L20" s="22"/>
      <c r="M20" s="25"/>
    </row>
    <row r="21" spans="1:13" x14ac:dyDescent="0.3">
      <c r="A21" s="19" t="s">
        <v>16</v>
      </c>
      <c r="B21" s="20">
        <v>7.7499999999999999E-2</v>
      </c>
      <c r="C21" s="21">
        <v>7.5069999999999998E-2</v>
      </c>
      <c r="F21" s="22"/>
      <c r="G21" s="23"/>
      <c r="H21" s="22"/>
      <c r="I21" s="23"/>
      <c r="J21" s="22"/>
      <c r="K21" s="25"/>
      <c r="L21" s="22"/>
      <c r="M21" s="25"/>
    </row>
    <row r="22" spans="1:13" x14ac:dyDescent="0.3">
      <c r="A22" s="19" t="s">
        <v>26</v>
      </c>
      <c r="B22" s="20">
        <v>8.5000000000000006E-3</v>
      </c>
      <c r="C22" s="21">
        <v>0</v>
      </c>
      <c r="F22" s="22"/>
      <c r="G22" s="23"/>
      <c r="H22" s="22"/>
      <c r="I22" s="23"/>
      <c r="J22" s="22"/>
      <c r="K22" s="25"/>
      <c r="L22" s="22"/>
      <c r="M22" s="25"/>
    </row>
    <row r="23" spans="1:13" x14ac:dyDescent="0.3">
      <c r="A23" s="19" t="s">
        <v>27</v>
      </c>
      <c r="B23" s="20">
        <v>3.1300000000000001E-2</v>
      </c>
      <c r="C23" s="21">
        <v>1.9290000000000002E-2</v>
      </c>
      <c r="F23" s="22"/>
      <c r="G23" s="23"/>
      <c r="H23" s="22"/>
      <c r="I23" s="23"/>
      <c r="J23" s="22"/>
      <c r="K23" s="25"/>
      <c r="L23" s="22"/>
      <c r="M23" s="25"/>
    </row>
    <row r="24" spans="1:13" x14ac:dyDescent="0.3">
      <c r="A24" s="19" t="s">
        <v>28</v>
      </c>
      <c r="B24" s="20">
        <v>1.4E-3</v>
      </c>
      <c r="C24" s="21">
        <v>9.5E-4</v>
      </c>
      <c r="F24" s="22"/>
      <c r="G24" s="23"/>
      <c r="H24" s="22"/>
      <c r="I24" s="23"/>
      <c r="J24" s="22"/>
      <c r="K24" s="25"/>
      <c r="L24" s="22"/>
      <c r="M24" s="25"/>
    </row>
    <row r="25" spans="1:13" x14ac:dyDescent="0.3">
      <c r="A25" s="19" t="s">
        <v>7</v>
      </c>
      <c r="B25" s="20">
        <v>4.6899999999999997E-2</v>
      </c>
      <c r="C25" s="21">
        <v>5.987E-2</v>
      </c>
      <c r="F25" s="22"/>
      <c r="G25" s="23"/>
      <c r="H25" s="22"/>
      <c r="I25" s="23"/>
      <c r="J25" s="22"/>
      <c r="K25" s="25"/>
      <c r="L25" s="22"/>
      <c r="M25" s="25"/>
    </row>
    <row r="26" spans="1:13" x14ac:dyDescent="0.3">
      <c r="A26" s="19" t="s">
        <v>3</v>
      </c>
      <c r="B26" s="20">
        <v>4.3200000000000002E-2</v>
      </c>
      <c r="C26" s="21">
        <v>6.3270000000000007E-2</v>
      </c>
      <c r="F26" s="22"/>
      <c r="G26" s="23"/>
      <c r="H26" s="22"/>
      <c r="I26" s="23"/>
      <c r="J26" s="22"/>
      <c r="K26" s="25"/>
      <c r="L26" s="22"/>
      <c r="M26" s="25"/>
    </row>
    <row r="27" spans="1:13" x14ac:dyDescent="0.3">
      <c r="A27" s="19" t="s">
        <v>29</v>
      </c>
      <c r="B27" s="20">
        <v>6.6E-3</v>
      </c>
      <c r="C27" s="21">
        <v>0</v>
      </c>
      <c r="F27" s="22"/>
      <c r="G27" s="23"/>
      <c r="H27" s="22"/>
      <c r="I27" s="23"/>
      <c r="J27" s="22"/>
      <c r="K27" s="25"/>
      <c r="L27" s="22"/>
      <c r="M27" s="25"/>
    </row>
    <row r="28" spans="1:13" x14ac:dyDescent="0.3">
      <c r="A28" s="19" t="s">
        <v>4</v>
      </c>
      <c r="B28" s="20">
        <v>3.9800000000000002E-2</v>
      </c>
      <c r="C28" s="21">
        <v>9.0560000000000002E-2</v>
      </c>
      <c r="F28" s="22"/>
      <c r="G28" s="23"/>
      <c r="H28" s="22"/>
      <c r="I28" s="23"/>
    </row>
    <row r="29" spans="1:13" x14ac:dyDescent="0.3">
      <c r="A29" s="19" t="s">
        <v>30</v>
      </c>
      <c r="B29" s="20">
        <v>2.5000000000000001E-2</v>
      </c>
      <c r="C29" s="21">
        <v>2.758E-2</v>
      </c>
      <c r="F29" s="22"/>
      <c r="G29" s="23"/>
      <c r="H29" s="22"/>
      <c r="I29" s="23"/>
    </row>
    <row r="30" spans="1:13" x14ac:dyDescent="0.3">
      <c r="A30" s="19" t="s">
        <v>31</v>
      </c>
      <c r="B30" s="20">
        <v>4.0000000000000002E-4</v>
      </c>
      <c r="C30" s="21">
        <v>9.7800000000000005E-3</v>
      </c>
      <c r="F30" s="22"/>
      <c r="G30" s="23"/>
      <c r="H30" s="22"/>
      <c r="I30" s="23"/>
    </row>
    <row r="31" spans="1:13" x14ac:dyDescent="0.3">
      <c r="A31" s="19" t="s">
        <v>32</v>
      </c>
      <c r="B31" s="20">
        <v>4.65E-2</v>
      </c>
      <c r="C31" s="21">
        <v>2.3599999999999999E-2</v>
      </c>
      <c r="F31" s="22"/>
      <c r="G31" s="23"/>
      <c r="H31" s="22"/>
      <c r="I31" s="23"/>
    </row>
    <row r="32" spans="1:13" x14ac:dyDescent="0.3">
      <c r="A32" s="19" t="s">
        <v>33</v>
      </c>
      <c r="B32" s="20">
        <v>2.0000000000000001E-4</v>
      </c>
      <c r="C32" s="21">
        <v>1.5E-3</v>
      </c>
      <c r="F32" s="22"/>
      <c r="G32" s="23"/>
      <c r="H32" s="22"/>
      <c r="I32" s="23"/>
    </row>
    <row r="33" spans="1:9" x14ac:dyDescent="0.3">
      <c r="A33" s="19" t="s">
        <v>34</v>
      </c>
      <c r="B33" s="20">
        <v>3.7600000000000001E-2</v>
      </c>
      <c r="C33" s="21">
        <v>1.9740000000000001E-2</v>
      </c>
      <c r="F33" s="22"/>
      <c r="G33" s="23"/>
      <c r="H33" s="22"/>
      <c r="I33" s="23"/>
    </row>
    <row r="34" spans="1:9" x14ac:dyDescent="0.3">
      <c r="A34" s="19" t="s">
        <v>35</v>
      </c>
      <c r="B34" s="20">
        <v>5.6399999999999999E-2</v>
      </c>
      <c r="C34" s="21">
        <v>7.3999999999999999E-4</v>
      </c>
      <c r="F34" s="22"/>
      <c r="G34" s="23"/>
      <c r="H34" s="22"/>
      <c r="I34" s="23"/>
    </row>
    <row r="35" spans="1:9" x14ac:dyDescent="0.3">
      <c r="A35" s="19" t="s">
        <v>36</v>
      </c>
      <c r="B35" s="20">
        <v>5.9999999999999995E-4</v>
      </c>
      <c r="C35" s="21">
        <v>0</v>
      </c>
      <c r="F35" s="22"/>
      <c r="G35" s="23"/>
      <c r="H35" s="22"/>
      <c r="I35" s="23"/>
    </row>
    <row r="36" spans="1:9" x14ac:dyDescent="0.3">
      <c r="A36" s="19" t="s">
        <v>37</v>
      </c>
      <c r="B36" s="20">
        <v>8.3000000000000001E-3</v>
      </c>
      <c r="C36" s="21">
        <v>0</v>
      </c>
      <c r="F36" s="22"/>
      <c r="G36" s="23"/>
      <c r="H36" s="22"/>
      <c r="I36" s="23"/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5BD93-58D1-4E41-B3FE-CA3EBFCE4F8C}">
  <sheetPr>
    <tabColor rgb="FFFF0000"/>
  </sheetPr>
  <dimension ref="A1:B292"/>
  <sheetViews>
    <sheetView topLeftCell="A265" workbookViewId="0">
      <selection activeCell="B273" sqref="B273"/>
    </sheetView>
  </sheetViews>
  <sheetFormatPr defaultRowHeight="14.4" x14ac:dyDescent="0.3"/>
  <cols>
    <col min="1" max="1" width="26" customWidth="1"/>
    <col min="2" max="2" width="27" customWidth="1"/>
  </cols>
  <sheetData>
    <row r="1" spans="1:2" x14ac:dyDescent="0.3">
      <c r="A1" t="s">
        <v>1</v>
      </c>
      <c r="B1" t="s">
        <v>797</v>
      </c>
    </row>
    <row r="2" spans="1:2" x14ac:dyDescent="0.3">
      <c r="A2" t="s">
        <v>209</v>
      </c>
      <c r="B2" s="32" t="str" cm="1">
        <f t="array" ref="B2">TranslateFromLiteral(tab\Persons[[#This Row],[Person]])</f>
        <v>1841612?9727092</v>
      </c>
    </row>
    <row r="3" spans="1:2" x14ac:dyDescent="0.3">
      <c r="A3" t="s">
        <v>381</v>
      </c>
      <c r="B3" t="str" cm="1">
        <f t="array" ref="B3">TranslateFromLiteral(tab\Persons[[#This Row],[Person]])</f>
        <v>11093?671934</v>
      </c>
    </row>
    <row r="4" spans="1:2" x14ac:dyDescent="0.3">
      <c r="A4" t="s">
        <v>849</v>
      </c>
      <c r="B4" t="str" cm="1">
        <f t="array" ref="B4">TranslateFromLiteral(tab\Persons[[#This Row],[Person]])</f>
        <v>13401911</v>
      </c>
    </row>
    <row r="5" spans="1:2" x14ac:dyDescent="0.3">
      <c r="A5" t="s">
        <v>171</v>
      </c>
      <c r="B5" t="str" cm="1">
        <f t="array" ref="B5">TranslateFromLiteral(tab\Persons[[#This Row],[Person]])</f>
        <v>198341?37201372</v>
      </c>
    </row>
    <row r="6" spans="1:2" x14ac:dyDescent="0.3">
      <c r="A6" t="s">
        <v>216</v>
      </c>
      <c r="B6" t="str" cm="1">
        <f t="array" ref="B6">TranslateFromLiteral(tab\Persons[[#This Row],[Person]])</f>
        <v>193</v>
      </c>
    </row>
    <row r="7" spans="1:2" x14ac:dyDescent="0.3">
      <c r="A7" t="s">
        <v>425</v>
      </c>
      <c r="B7" t="str" cm="1">
        <f t="array" ref="B7">TranslateFromLiteral(tab\Persons[[#This Row],[Person]])</f>
        <v>193431?671767077</v>
      </c>
    </row>
    <row r="8" spans="1:2" x14ac:dyDescent="0.3">
      <c r="A8" t="s">
        <v>842</v>
      </c>
      <c r="B8" t="str" cm="1">
        <f t="array" ref="B8">TranslateFromLiteral(tab\Persons[[#This Row],[Person]])</f>
        <v>1934310?97235727</v>
      </c>
    </row>
    <row r="9" spans="1:2" x14ac:dyDescent="0.3">
      <c r="A9" t="s">
        <v>430</v>
      </c>
      <c r="B9" t="str" cm="1">
        <f t="array" ref="B9">TranslateFromLiteral(tab\Persons[[#This Row],[Person]])</f>
        <v>1991172</v>
      </c>
    </row>
    <row r="10" spans="1:2" x14ac:dyDescent="0.3">
      <c r="A10" t="s">
        <v>205</v>
      </c>
      <c r="B10" t="str" cm="1">
        <f t="array" ref="B10">TranslateFromLiteral(tab\Persons[[#This Row],[Person]])</f>
        <v>121772?079519734</v>
      </c>
    </row>
    <row r="11" spans="1:2" x14ac:dyDescent="0.3">
      <c r="A11" t="s">
        <v>236</v>
      </c>
      <c r="B11" t="str" cm="1">
        <f t="array" ref="B11">TranslateFromLiteral(tab\Persons[[#This Row],[Person]])</f>
        <v>12339721?90973</v>
      </c>
    </row>
    <row r="12" spans="1:2" x14ac:dyDescent="0.3">
      <c r="A12" t="s">
        <v>482</v>
      </c>
      <c r="B12" t="str" cm="1">
        <f t="array" ref="B12">TranslateFromLiteral(tab\Persons[[#This Row],[Person]])</f>
        <v>12039?11120</v>
      </c>
    </row>
    <row r="13" spans="1:2" x14ac:dyDescent="0.3">
      <c r="A13" t="s">
        <v>259</v>
      </c>
      <c r="B13" t="str" cm="1">
        <f t="array" ref="B13">TranslateFromLiteral(tab\Persons[[#This Row],[Person]])</f>
        <v>1210270?81213410</v>
      </c>
    </row>
    <row r="14" spans="1:2" x14ac:dyDescent="0.3">
      <c r="A14" t="s">
        <v>857</v>
      </c>
      <c r="B14" t="str" cm="1">
        <f t="array" ref="B14">TranslateFromLiteral(tab\Persons[[#This Row],[Person]])</f>
        <v>1252177</v>
      </c>
    </row>
    <row r="15" spans="1:2" x14ac:dyDescent="0.3">
      <c r="A15" t="s">
        <v>268</v>
      </c>
      <c r="B15" t="str" cm="1">
        <f t="array" ref="B15">TranslateFromLiteral(tab\Persons[[#This Row],[Person]])</f>
        <v>142091?07651403233334</v>
      </c>
    </row>
    <row r="16" spans="1:2" x14ac:dyDescent="0.3">
      <c r="A16" t="s">
        <v>852</v>
      </c>
      <c r="B16" t="str" cm="1">
        <f t="array" ref="B16">TranslateFromLiteral(tab\Persons[[#This Row],[Person]])</f>
        <v>14154?702212?10993</v>
      </c>
    </row>
    <row r="17" spans="1:2" x14ac:dyDescent="0.3">
      <c r="A17" t="s">
        <v>410</v>
      </c>
      <c r="B17" t="str" cm="1">
        <f t="array" ref="B17">TranslateFromLiteral(tab\Persons[[#This Row],[Person]])</f>
        <v>14154?4587201372</v>
      </c>
    </row>
    <row r="18" spans="1:2" x14ac:dyDescent="0.3">
      <c r="A18" t="s">
        <v>206</v>
      </c>
      <c r="B18" t="str" cm="1">
        <f t="array" ref="B18">TranslateFromLiteral(tab\Persons[[#This Row],[Person]])</f>
        <v>145321</v>
      </c>
    </row>
    <row r="19" spans="1:2" x14ac:dyDescent="0.3">
      <c r="A19" t="s">
        <v>847</v>
      </c>
      <c r="B19" t="str" cm="1">
        <f t="array" ref="B19">TranslateFromLiteral(tab\Persons[[#This Row],[Person]])</f>
        <v>11321</v>
      </c>
    </row>
    <row r="20" spans="1:2" x14ac:dyDescent="0.3">
      <c r="A20" t="s">
        <v>403</v>
      </c>
      <c r="B20" t="str" cm="1">
        <f t="array" ref="B20">TranslateFromLiteral(tab\Persons[[#This Row],[Person]])</f>
        <v>151439?6388542</v>
      </c>
    </row>
    <row r="21" spans="1:2" x14ac:dyDescent="0.3">
      <c r="A21" t="s">
        <v>403</v>
      </c>
      <c r="B21" t="str" cm="1">
        <f t="array" ref="B21">TranslateFromLiteral(tab\Persons[[#This Row],[Person]])</f>
        <v>151439?6388542</v>
      </c>
    </row>
    <row r="22" spans="1:2" x14ac:dyDescent="0.3">
      <c r="A22" t="s">
        <v>367</v>
      </c>
      <c r="B22" t="str" cm="1">
        <f t="array" ref="B22">TranslateFromLiteral(tab\Persons[[#This Row],[Person]])</f>
        <v>153501723?40172</v>
      </c>
    </row>
    <row r="23" spans="1:2" x14ac:dyDescent="0.3">
      <c r="A23" t="s">
        <v>859</v>
      </c>
      <c r="B23" t="str" cm="1">
        <f t="array" ref="B23">TranslateFromLiteral(tab\Persons[[#This Row],[Person]])</f>
        <v>157777</v>
      </c>
    </row>
    <row r="24" spans="1:2" x14ac:dyDescent="0.3">
      <c r="A24" t="s">
        <v>165</v>
      </c>
      <c r="B24" t="str" cm="1">
        <f t="array" ref="B24">TranslateFromLiteral(tab\Persons[[#This Row],[Person]])</f>
        <v>814177?08121</v>
      </c>
    </row>
    <row r="25" spans="1:2" x14ac:dyDescent="0.3">
      <c r="A25" t="s">
        <v>526</v>
      </c>
      <c r="B25" t="str" cm="1">
        <f t="array" ref="B25">TranslateFromLiteral(tab\Persons[[#This Row],[Person]])</f>
        <v>81402?25326150032</v>
      </c>
    </row>
    <row r="26" spans="1:2" x14ac:dyDescent="0.3">
      <c r="A26" t="s">
        <v>163</v>
      </c>
      <c r="B26" t="str" cm="1">
        <f t="array" ref="B26">TranslateFromLiteral(tab\Persons[[#This Row],[Person]])</f>
        <v>811212</v>
      </c>
    </row>
    <row r="27" spans="1:2" x14ac:dyDescent="0.3">
      <c r="A27" t="s">
        <v>231</v>
      </c>
      <c r="B27" t="str" cm="1">
        <f t="array" ref="B27">TranslateFromLiteral(tab\Persons[[#This Row],[Person]])</f>
        <v>8321074?865110</v>
      </c>
    </row>
    <row r="28" spans="1:2" x14ac:dyDescent="0.3">
      <c r="A28" t="s">
        <v>253</v>
      </c>
      <c r="B28" t="str" cm="1">
        <f t="array" ref="B28">TranslateFromLiteral(tab\Persons[[#This Row],[Person]])</f>
        <v>83231771?75283481176</v>
      </c>
    </row>
    <row r="29" spans="1:2" x14ac:dyDescent="0.3">
      <c r="A29" t="s">
        <v>177</v>
      </c>
      <c r="B29" t="str" cm="1">
        <f t="array" ref="B29">TranslateFromLiteral(tab\Persons[[#This Row],[Person]])</f>
        <v>83291272?34127972</v>
      </c>
    </row>
    <row r="30" spans="1:2" x14ac:dyDescent="0.3">
      <c r="A30" t="s">
        <v>303</v>
      </c>
      <c r="B30" t="str" cm="1">
        <f t="array" ref="B30">TranslateFromLiteral(tab\Persons[[#This Row],[Person]])</f>
        <v>873?3001</v>
      </c>
    </row>
    <row r="31" spans="1:2" x14ac:dyDescent="0.3">
      <c r="A31" t="s">
        <v>204</v>
      </c>
      <c r="B31" t="str" cm="1">
        <f t="array" ref="B31">TranslateFromLiteral(tab\Persons[[#This Row],[Person]])</f>
        <v>87980?8133720</v>
      </c>
    </row>
    <row r="32" spans="1:2" x14ac:dyDescent="0.3">
      <c r="A32" t="s">
        <v>174</v>
      </c>
      <c r="B32" t="str" cm="1">
        <f t="array" ref="B32">TranslateFromLiteral(tab\Persons[[#This Row],[Person]])</f>
        <v>84573?933</v>
      </c>
    </row>
    <row r="33" spans="1:2" x14ac:dyDescent="0.3">
      <c r="A33" t="s">
        <v>334</v>
      </c>
      <c r="B33" t="str" cm="1">
        <f t="array" ref="B33">TranslateFromLiteral(tab\Persons[[#This Row],[Person]])</f>
        <v>84573?579970</v>
      </c>
    </row>
    <row r="34" spans="1:2" x14ac:dyDescent="0.3">
      <c r="A34" t="s">
        <v>219</v>
      </c>
      <c r="B34" t="str" cm="1">
        <f t="array" ref="B34">TranslateFromLiteral(tab\Persons[[#This Row],[Person]])</f>
        <v>8571</v>
      </c>
    </row>
    <row r="35" spans="1:2" x14ac:dyDescent="0.3">
      <c r="A35" t="s">
        <v>352</v>
      </c>
      <c r="B35" t="str" cm="1">
        <f t="array" ref="B35">TranslateFromLiteral(tab\Persons[[#This Row],[Person]])</f>
        <v>850134?731102</v>
      </c>
    </row>
    <row r="36" spans="1:2" x14ac:dyDescent="0.3">
      <c r="A36" t="s">
        <v>480</v>
      </c>
      <c r="B36" t="str" cm="1">
        <f t="array" ref="B36">TranslateFromLiteral(tab\Persons[[#This Row],[Person]])</f>
        <v>7?0?93570</v>
      </c>
    </row>
    <row r="37" spans="1:2" x14ac:dyDescent="0.3">
      <c r="A37" t="s">
        <v>858</v>
      </c>
      <c r="B37" t="str" cm="1">
        <f t="array" ref="B37">TranslateFromLiteral(tab\Persons[[#This Row],[Person]])</f>
        <v>7?80</v>
      </c>
    </row>
    <row r="38" spans="1:2" x14ac:dyDescent="0.3">
      <c r="A38" t="s">
        <v>400</v>
      </c>
      <c r="B38" t="str" cm="1">
        <f t="array" ref="B38">TranslateFromLiteral(tab\Persons[[#This Row],[Person]])</f>
        <v>7149?93570</v>
      </c>
    </row>
    <row r="39" spans="1:2" x14ac:dyDescent="0.3">
      <c r="A39" t="s">
        <v>405</v>
      </c>
      <c r="B39" t="str" cm="1">
        <f t="array" ref="B39">TranslateFromLiteral(tab\Persons[[#This Row],[Person]])</f>
        <v>7149?97221350</v>
      </c>
    </row>
    <row r="40" spans="1:2" x14ac:dyDescent="0.3">
      <c r="A40" t="s">
        <v>869</v>
      </c>
      <c r="B40" t="str" cm="1">
        <f t="array" ref="B40">TranslateFromLiteral(tab\Persons[[#This Row],[Person]])</f>
        <v>71409?114572</v>
      </c>
    </row>
    <row r="41" spans="1:2" x14ac:dyDescent="0.3">
      <c r="A41" t="s">
        <v>870</v>
      </c>
      <c r="B41" t="str" cm="1">
        <f t="array" ref="B41">TranslateFromLiteral(tab\Persons[[#This Row],[Person]])</f>
        <v>711634723?163?34311</v>
      </c>
    </row>
    <row r="42" spans="1:2" x14ac:dyDescent="0.3">
      <c r="A42" t="s">
        <v>355</v>
      </c>
      <c r="B42" t="str" cm="1">
        <f t="array" ref="B42">TranslateFromLiteral(tab\Persons[[#This Row],[Person]])</f>
        <v>71150212</v>
      </c>
    </row>
    <row r="43" spans="1:2" x14ac:dyDescent="0.3">
      <c r="A43" t="s">
        <v>383</v>
      </c>
      <c r="B43" t="str" cm="1">
        <f t="array" ref="B43">TranslateFromLiteral(tab\Persons[[#This Row],[Person]])</f>
        <v>7614930?8188133</v>
      </c>
    </row>
    <row r="44" spans="1:2" x14ac:dyDescent="0.3">
      <c r="A44" t="s">
        <v>142</v>
      </c>
      <c r="B44" t="str" cm="1">
        <f t="array" ref="B44">TranslateFromLiteral(tab\Persons[[#This Row],[Person]])</f>
        <v>7614973?7618972</v>
      </c>
    </row>
    <row r="45" spans="1:2" x14ac:dyDescent="0.3">
      <c r="A45" t="s">
        <v>210</v>
      </c>
      <c r="B45" t="str" cm="1">
        <f t="array" ref="B45">TranslateFromLiteral(tab\Persons[[#This Row],[Person]])</f>
        <v>76723370?7612</v>
      </c>
    </row>
    <row r="46" spans="1:2" x14ac:dyDescent="0.3">
      <c r="A46" t="s">
        <v>416</v>
      </c>
      <c r="B46" t="str" cm="1">
        <f t="array" ref="B46">TranslateFromLiteral(tab\Persons[[#This Row],[Person]])</f>
        <v>764701712?8142141</v>
      </c>
    </row>
    <row r="47" spans="1:2" x14ac:dyDescent="0.3">
      <c r="A47" t="s">
        <v>871</v>
      </c>
      <c r="B47" t="str" cm="1">
        <f t="array" ref="B47">TranslateFromLiteral(tab\Persons[[#This Row],[Person]])</f>
        <v>76470108634?70952850</v>
      </c>
    </row>
    <row r="48" spans="1:2" x14ac:dyDescent="0.3">
      <c r="A48" t="s">
        <v>843</v>
      </c>
      <c r="B48" t="str" cm="1">
        <f t="array" ref="B48">TranslateFromLiteral(tab\Persons[[#This Row],[Person]])</f>
        <v>76470108634?20912</v>
      </c>
    </row>
    <row r="49" spans="1:2" x14ac:dyDescent="0.3">
      <c r="A49" t="s">
        <v>234</v>
      </c>
      <c r="B49" t="str" cm="1">
        <f t="array" ref="B49">TranslateFromLiteral(tab\Persons[[#This Row],[Person]])</f>
        <v>77219?74153041</v>
      </c>
    </row>
    <row r="50" spans="1:2" x14ac:dyDescent="0.3">
      <c r="A50" t="s">
        <v>506</v>
      </c>
      <c r="B50" t="str" cm="1">
        <f t="array" ref="B50">TranslateFromLiteral(tab\Persons[[#This Row],[Person]])</f>
        <v>791513?20231</v>
      </c>
    </row>
    <row r="51" spans="1:2" x14ac:dyDescent="0.3">
      <c r="A51" t="s">
        <v>267</v>
      </c>
      <c r="B51" t="str" cm="1">
        <f t="array" ref="B51">TranslateFromLiteral(tab\Persons[[#This Row],[Person]])</f>
        <v>79721?31015001</v>
      </c>
    </row>
    <row r="52" spans="1:2" x14ac:dyDescent="0.3">
      <c r="A52" t="s">
        <v>211</v>
      </c>
      <c r="B52" t="str" cm="1">
        <f t="array" ref="B52">TranslateFromLiteral(tab\Persons[[#This Row],[Person]])</f>
        <v>119199121?675</v>
      </c>
    </row>
    <row r="53" spans="1:2" x14ac:dyDescent="0.3">
      <c r="A53" t="s">
        <v>876</v>
      </c>
      <c r="B53" t="str" cm="1">
        <f t="array" ref="B53">TranslateFromLiteral(tab\Persons[[#This Row],[Person]])</f>
        <v>112739?74173?</v>
      </c>
    </row>
    <row r="54" spans="1:2" x14ac:dyDescent="0.3">
      <c r="A54" t="s">
        <v>348</v>
      </c>
      <c r="B54" t="str" cm="1">
        <f t="array" ref="B54">TranslateFromLiteral(tab\Persons[[#This Row],[Person]])</f>
        <v>132039?5106723102</v>
      </c>
    </row>
    <row r="55" spans="1:2" x14ac:dyDescent="0.3">
      <c r="A55" t="s">
        <v>348</v>
      </c>
      <c r="B55" t="str" cm="1">
        <f t="array" ref="B55">TranslateFromLiteral(tab\Persons[[#This Row],[Person]])</f>
        <v>132039?5106723102</v>
      </c>
    </row>
    <row r="56" spans="1:2" x14ac:dyDescent="0.3">
      <c r="A56" t="s">
        <v>301</v>
      </c>
      <c r="B56" t="str" cm="1">
        <f t="array" ref="B56">TranslateFromLiteral(tab\Persons[[#This Row],[Person]])</f>
        <v>17330?21411021</v>
      </c>
    </row>
    <row r="57" spans="1:2" x14ac:dyDescent="0.3">
      <c r="A57" t="s">
        <v>497</v>
      </c>
      <c r="B57" t="str" cm="1">
        <f t="array" ref="B57">TranslateFromLiteral(tab\Persons[[#This Row],[Person]])</f>
        <v>17027000</v>
      </c>
    </row>
    <row r="58" spans="1:2" x14ac:dyDescent="0.3">
      <c r="A58" t="s">
        <v>282</v>
      </c>
      <c r="B58" t="str" cm="1">
        <f t="array" ref="B58">TranslateFromLiteral(tab\Persons[[#This Row],[Person]])</f>
        <v>102?9062002</v>
      </c>
    </row>
    <row r="59" spans="1:2" x14ac:dyDescent="0.3">
      <c r="A59" t="s">
        <v>433</v>
      </c>
      <c r="B59" t="str" cm="1">
        <f t="array" ref="B59">TranslateFromLiteral(tab\Persons[[#This Row],[Person]])</f>
        <v>1417591?</v>
      </c>
    </row>
    <row r="60" spans="1:2" x14ac:dyDescent="0.3">
      <c r="A60" t="s">
        <v>856</v>
      </c>
      <c r="B60" t="str" cm="1">
        <f t="array" ref="B60">TranslateFromLiteral(tab\Persons[[#This Row],[Person]])</f>
        <v>14712?7342723612</v>
      </c>
    </row>
    <row r="61" spans="1:2" x14ac:dyDescent="0.3">
      <c r="A61" t="s">
        <v>861</v>
      </c>
      <c r="B61" t="str" cm="1">
        <f t="array" ref="B61">TranslateFromLiteral(tab\Persons[[#This Row],[Person]])</f>
        <v>397018316?77</v>
      </c>
    </row>
    <row r="62" spans="1:2" x14ac:dyDescent="0.3">
      <c r="A62" t="s">
        <v>464</v>
      </c>
      <c r="B62" t="str" cm="1">
        <f t="array" ref="B62">TranslateFromLiteral(tab\Persons[[#This Row],[Person]])</f>
        <v>3902?2507</v>
      </c>
    </row>
    <row r="63" spans="1:2" x14ac:dyDescent="0.3">
      <c r="A63" t="s">
        <v>244</v>
      </c>
      <c r="B63" t="str" cm="1">
        <f t="array" ref="B63">TranslateFromLiteral(tab\Persons[[#This Row],[Person]])</f>
        <v>3221?16028002</v>
      </c>
    </row>
    <row r="64" spans="1:2" x14ac:dyDescent="0.3">
      <c r="A64" t="s">
        <v>864</v>
      </c>
      <c r="B64" t="str" cm="1">
        <f t="array" ref="B64">TranslateFromLiteral(tab\Persons[[#This Row],[Person]])</f>
        <v>3221?511002</v>
      </c>
    </row>
    <row r="65" spans="1:2" x14ac:dyDescent="0.3">
      <c r="A65" t="s">
        <v>844</v>
      </c>
      <c r="B65" t="str" cm="1">
        <f t="array" ref="B65">TranslateFromLiteral(tab\Persons[[#This Row],[Person]])</f>
        <v>32270?204477023</v>
      </c>
    </row>
    <row r="66" spans="1:2" x14ac:dyDescent="0.3">
      <c r="A66" t="s">
        <v>845</v>
      </c>
      <c r="B66" t="str" cm="1">
        <f t="array" ref="B66">TranslateFromLiteral(tab\Persons[[#This Row],[Person]])</f>
        <v>3291</v>
      </c>
    </row>
    <row r="67" spans="1:2" x14ac:dyDescent="0.3">
      <c r="A67" t="s">
        <v>351</v>
      </c>
      <c r="B67" t="str" cm="1">
        <f t="array" ref="B67">TranslateFromLiteral(tab\Persons[[#This Row],[Person]])</f>
        <v>342301?632273519</v>
      </c>
    </row>
    <row r="68" spans="1:2" x14ac:dyDescent="0.3">
      <c r="A68" t="s">
        <v>398</v>
      </c>
      <c r="B68" t="str" cm="1">
        <f t="array" ref="B68">TranslateFromLiteral(tab\Persons[[#This Row],[Person]])</f>
        <v>3400</v>
      </c>
    </row>
    <row r="69" spans="1:2" x14ac:dyDescent="0.3">
      <c r="A69" t="s">
        <v>316</v>
      </c>
      <c r="B69" t="str" cm="1">
        <f t="array" ref="B69">TranslateFromLiteral(tab\Persons[[#This Row],[Person]])</f>
        <v>34572?0764031472334</v>
      </c>
    </row>
    <row r="70" spans="1:2" x14ac:dyDescent="0.3">
      <c r="A70" t="s">
        <v>866</v>
      </c>
      <c r="B70" t="str" cm="1">
        <f t="array" ref="B70">TranslateFromLiteral(tab\Persons[[#This Row],[Person]])</f>
        <v>395339</v>
      </c>
    </row>
    <row r="71" spans="1:2" x14ac:dyDescent="0.3">
      <c r="A71" t="s">
        <v>181</v>
      </c>
      <c r="B71" t="str" cm="1">
        <f t="array" ref="B71">TranslateFromLiteral(tab\Persons[[#This Row],[Person]])</f>
        <v>3431?397201023</v>
      </c>
    </row>
    <row r="72" spans="1:2" x14ac:dyDescent="0.3">
      <c r="A72" t="s">
        <v>160</v>
      </c>
      <c r="B72" t="str" cm="1">
        <f t="array" ref="B72">TranslateFromLiteral(tab\Persons[[#This Row],[Person]])</f>
        <v>3431173?2347549</v>
      </c>
    </row>
    <row r="73" spans="1:2" x14ac:dyDescent="0.3">
      <c r="A73" t="s">
        <v>339</v>
      </c>
      <c r="B73" t="str" cm="1">
        <f t="array" ref="B73">TranslateFromLiteral(tab\Persons[[#This Row],[Person]])</f>
        <v>34711?71690</v>
      </c>
    </row>
    <row r="74" spans="1:2" x14ac:dyDescent="0.3">
      <c r="A74" t="s">
        <v>300</v>
      </c>
      <c r="B74" t="str" cm="1">
        <f t="array" ref="B74">TranslateFromLiteral(tab\Persons[[#This Row],[Person]])</f>
        <v>34711903?212032</v>
      </c>
    </row>
    <row r="75" spans="1:2" x14ac:dyDescent="0.3">
      <c r="A75" t="s">
        <v>161</v>
      </c>
      <c r="B75" t="str" cm="1">
        <f t="array" ref="B75">TranslateFromLiteral(tab\Persons[[#This Row],[Person]])</f>
        <v>34010?8133720</v>
      </c>
    </row>
    <row r="76" spans="1:2" x14ac:dyDescent="0.3">
      <c r="A76" t="s">
        <v>226</v>
      </c>
      <c r="B76" t="str" cm="1">
        <f t="array" ref="B76">TranslateFromLiteral(tab\Persons[[#This Row],[Person]])</f>
        <v>34913497?760872</v>
      </c>
    </row>
    <row r="77" spans="1:2" x14ac:dyDescent="0.3">
      <c r="A77" t="s">
        <v>865</v>
      </c>
      <c r="B77" t="str" cm="1">
        <f t="array" ref="B77">TranslateFromLiteral(tab\Persons[[#This Row],[Person]])</f>
        <v>3184739?739300710</v>
      </c>
    </row>
    <row r="78" spans="1:2" x14ac:dyDescent="0.3">
      <c r="A78" t="s">
        <v>208</v>
      </c>
      <c r="B78" t="str" cm="1">
        <f t="array" ref="B78">TranslateFromLiteral(tab\Persons[[#This Row],[Person]])</f>
        <v>31911473991</v>
      </c>
    </row>
    <row r="79" spans="1:2" x14ac:dyDescent="0.3">
      <c r="A79" t="s">
        <v>158</v>
      </c>
      <c r="B79" t="str" cm="1">
        <f t="array" ref="B79">TranslateFromLiteral(tab\Persons[[#This Row],[Person]])</f>
        <v>3121193</v>
      </c>
    </row>
    <row r="80" spans="1:2" x14ac:dyDescent="0.3">
      <c r="A80" t="s">
        <v>846</v>
      </c>
      <c r="B80" t="str" cm="1">
        <f t="array" ref="B80">TranslateFromLiteral(tab\Persons[[#This Row],[Person]])</f>
        <v>330433?214172</v>
      </c>
    </row>
    <row r="81" spans="1:2" x14ac:dyDescent="0.3">
      <c r="A81" t="s">
        <v>340</v>
      </c>
      <c r="B81" t="str" cm="1">
        <f t="array" ref="B81">TranslateFromLiteral(tab\Persons[[#This Row],[Person]])</f>
        <v>330433?5106723102</v>
      </c>
    </row>
    <row r="82" spans="1:2" x14ac:dyDescent="0.3">
      <c r="A82" t="s">
        <v>203</v>
      </c>
      <c r="B82" t="str" cm="1">
        <f t="array" ref="B82">TranslateFromLiteral(tab\Persons[[#This Row],[Person]])</f>
        <v>334191?0?47577</v>
      </c>
    </row>
    <row r="83" spans="1:2" x14ac:dyDescent="0.3">
      <c r="A83" t="s">
        <v>217</v>
      </c>
      <c r="B83" t="str" cm="1">
        <f t="array" ref="B83">TranslateFromLiteral(tab\Persons[[#This Row],[Person]])</f>
        <v>30952</v>
      </c>
    </row>
    <row r="84" spans="1:2" x14ac:dyDescent="0.3">
      <c r="A84" t="s">
        <v>472</v>
      </c>
      <c r="B84" t="str" cm="1">
        <f t="array" ref="B84">TranslateFromLiteral(tab\Persons[[#This Row],[Person]])</f>
        <v>304102?412039</v>
      </c>
    </row>
    <row r="85" spans="1:2" x14ac:dyDescent="0.3">
      <c r="A85" t="s">
        <v>855</v>
      </c>
      <c r="B85" t="str" cm="1">
        <f t="array" ref="B85">TranslateFromLiteral(tab\Persons[[#This Row],[Person]])</f>
        <v>34173?614834</v>
      </c>
    </row>
    <row r="86" spans="1:2" x14ac:dyDescent="0.3">
      <c r="A86" t="s">
        <v>860</v>
      </c>
      <c r="B86" t="str" cm="1">
        <f t="array" ref="B86">TranslateFromLiteral(tab\Persons[[#This Row],[Person]])</f>
        <v>3433049?60503</v>
      </c>
    </row>
    <row r="87" spans="1:2" x14ac:dyDescent="0.3">
      <c r="A87" t="s">
        <v>288</v>
      </c>
      <c r="B87" t="str" cm="1">
        <f t="array" ref="B87">TranslateFromLiteral(tab\Persons[[#This Row],[Person]])</f>
        <v>34033040?232139</v>
      </c>
    </row>
    <row r="88" spans="1:2" x14ac:dyDescent="0.3">
      <c r="A88" t="s">
        <v>288</v>
      </c>
      <c r="B88" t="str" cm="1">
        <f t="array" ref="B88">TranslateFromLiteral(tab\Persons[[#This Row],[Person]])</f>
        <v>34033040?232139</v>
      </c>
    </row>
    <row r="89" spans="1:2" x14ac:dyDescent="0.3">
      <c r="A89" t="s">
        <v>424</v>
      </c>
      <c r="B89" t="str" cm="1">
        <f t="array" ref="B89">TranslateFromLiteral(tab\Persons[[#This Row],[Person]])</f>
        <v>359?315730</v>
      </c>
    </row>
    <row r="90" spans="1:2" x14ac:dyDescent="0.3">
      <c r="A90" t="s">
        <v>349</v>
      </c>
      <c r="B90" t="str" cm="1">
        <f t="array" ref="B90">TranslateFromLiteral(tab\Persons[[#This Row],[Person]])</f>
        <v>6120?764701712?12134032</v>
      </c>
    </row>
    <row r="91" spans="1:2" x14ac:dyDescent="0.3">
      <c r="A91" t="s">
        <v>484</v>
      </c>
      <c r="B91" t="str" cm="1">
        <f t="array" ref="B91">TranslateFromLiteral(tab\Persons[[#This Row],[Person]])</f>
        <v>614834?933</v>
      </c>
    </row>
    <row r="92" spans="1:2" x14ac:dyDescent="0.3">
      <c r="A92" t="s">
        <v>255</v>
      </c>
      <c r="B92" t="str" cm="1">
        <f t="array" ref="B92">TranslateFromLiteral(tab\Persons[[#This Row],[Person]])</f>
        <v>61447002?3041</v>
      </c>
    </row>
    <row r="93" spans="1:2" x14ac:dyDescent="0.3">
      <c r="A93" t="s">
        <v>255</v>
      </c>
      <c r="B93" t="str" cm="1">
        <f t="array" ref="B93">TranslateFromLiteral(tab\Persons[[#This Row],[Person]])</f>
        <v>61447002?3041</v>
      </c>
    </row>
    <row r="94" spans="1:2" x14ac:dyDescent="0.3">
      <c r="A94" t="s">
        <v>179</v>
      </c>
      <c r="B94" t="str" cm="1">
        <f t="array" ref="B94">TranslateFromLiteral(tab\Persons[[#This Row],[Person]])</f>
        <v>61449?801134</v>
      </c>
    </row>
    <row r="95" spans="1:2" x14ac:dyDescent="0.3">
      <c r="A95" t="s">
        <v>308</v>
      </c>
      <c r="B95" t="str" cm="1">
        <f t="array" ref="B95">TranslateFromLiteral(tab\Persons[[#This Row],[Person]])</f>
        <v>639251?235102</v>
      </c>
    </row>
    <row r="96" spans="1:2" x14ac:dyDescent="0.3">
      <c r="A96" t="s">
        <v>370</v>
      </c>
      <c r="B96" t="str" cm="1">
        <f t="array" ref="B96">TranslateFromLiteral(tab\Persons[[#This Row],[Person]])</f>
        <v>63475930</v>
      </c>
    </row>
    <row r="97" spans="1:2" x14ac:dyDescent="0.3">
      <c r="A97" t="s">
        <v>863</v>
      </c>
      <c r="B97" t="str" cm="1">
        <f t="array" ref="B97">TranslateFromLiteral(tab\Persons[[#This Row],[Person]])</f>
        <v>6342023</v>
      </c>
    </row>
    <row r="98" spans="1:2" x14ac:dyDescent="0.3">
      <c r="A98" t="s">
        <v>432</v>
      </c>
      <c r="B98" t="str" cm="1">
        <f t="array" ref="B98">TranslateFromLiteral(tab\Persons[[#This Row],[Person]])</f>
        <v>677758</v>
      </c>
    </row>
    <row r="99" spans="1:2" x14ac:dyDescent="0.3">
      <c r="A99" t="s">
        <v>494</v>
      </c>
      <c r="B99" t="str" cm="1">
        <f t="array" ref="B99">TranslateFromLiteral(tab\Persons[[#This Row],[Person]])</f>
        <v>60999?3099736199</v>
      </c>
    </row>
    <row r="100" spans="1:2" x14ac:dyDescent="0.3">
      <c r="A100" t="s">
        <v>336</v>
      </c>
      <c r="B100" t="str" cm="1">
        <f t="array" ref="B100">TranslateFromLiteral(tab\Persons[[#This Row],[Person]])</f>
        <v>60234?0728002</v>
      </c>
    </row>
    <row r="101" spans="1:2" x14ac:dyDescent="0.3">
      <c r="A101" t="s">
        <v>312</v>
      </c>
      <c r="B101" t="str" cm="1">
        <f t="array" ref="B101">TranslateFromLiteral(tab\Persons[[#This Row],[Person]])</f>
        <v>605141?50905710</v>
      </c>
    </row>
    <row r="102" spans="1:2" x14ac:dyDescent="0.3">
      <c r="A102" t="s">
        <v>344</v>
      </c>
      <c r="B102" t="str" cm="1">
        <f t="array" ref="B102">TranslateFromLiteral(tab\Persons[[#This Row],[Person]])</f>
        <v>6536?34121</v>
      </c>
    </row>
    <row r="103" spans="1:2" x14ac:dyDescent="0.3">
      <c r="A103" t="s">
        <v>867</v>
      </c>
      <c r="B103" t="str" cm="1">
        <f t="array" ref="B103">TranslateFromLiteral(tab\Persons[[#This Row],[Person]])</f>
        <v>6536?915473</v>
      </c>
    </row>
    <row r="104" spans="1:2" x14ac:dyDescent="0.3">
      <c r="A104" t="s">
        <v>375</v>
      </c>
      <c r="B104" t="str" cm="1">
        <f t="array" ref="B104">TranslateFromLiteral(tab\Persons[[#This Row],[Person]])</f>
        <v>6597</v>
      </c>
    </row>
    <row r="105" spans="1:2" x14ac:dyDescent="0.3">
      <c r="A105" t="s">
        <v>335</v>
      </c>
      <c r="B105" t="str" cm="1">
        <f t="array" ref="B105">TranslateFromLiteral(tab\Persons[[#This Row],[Person]])</f>
        <v>6597?60312</v>
      </c>
    </row>
    <row r="106" spans="1:2" x14ac:dyDescent="0.3">
      <c r="A106" t="s">
        <v>371</v>
      </c>
      <c r="B106" t="str" cm="1">
        <f t="array" ref="B106">TranslateFromLiteral(tab\Persons[[#This Row],[Person]])</f>
        <v>771450</v>
      </c>
    </row>
    <row r="107" spans="1:2" x14ac:dyDescent="0.3">
      <c r="A107" t="s">
        <v>419</v>
      </c>
      <c r="B107" t="str" cm="1">
        <f t="array" ref="B107">TranslateFromLiteral(tab\Persons[[#This Row],[Person]])</f>
        <v>7304?07704079</v>
      </c>
    </row>
    <row r="108" spans="1:2" x14ac:dyDescent="0.3">
      <c r="A108" t="s">
        <v>254</v>
      </c>
      <c r="B108" t="str" cm="1">
        <f t="array" ref="B108">TranslateFromLiteral(tab\Persons[[#This Row],[Person]])</f>
        <v>7217121?90230</v>
      </c>
    </row>
    <row r="109" spans="1:2" x14ac:dyDescent="0.3">
      <c r="A109" t="s">
        <v>411</v>
      </c>
      <c r="B109" t="str" cm="1">
        <f t="array" ref="B109">TranslateFromLiteral(tab\Persons[[#This Row],[Person]])</f>
        <v>7402212</v>
      </c>
    </row>
    <row r="110" spans="1:2" x14ac:dyDescent="0.3">
      <c r="A110" t="s">
        <v>364</v>
      </c>
      <c r="B110" t="str" cm="1">
        <f t="array" ref="B110">TranslateFromLiteral(tab\Persons[[#This Row],[Person]])</f>
        <v>70117?235102</v>
      </c>
    </row>
    <row r="111" spans="1:2" x14ac:dyDescent="0.3">
      <c r="A111" t="s">
        <v>228</v>
      </c>
      <c r="B111" t="str" cm="1">
        <f t="array" ref="B111">TranslateFromLiteral(tab\Persons[[#This Row],[Person]])</f>
        <v>9?7??4059723</v>
      </c>
    </row>
    <row r="112" spans="1:2" x14ac:dyDescent="0.3">
      <c r="A112" t="s">
        <v>331</v>
      </c>
      <c r="B112" t="str" cm="1">
        <f t="array" ref="B112">TranslateFromLiteral(tab\Persons[[#This Row],[Person]])</f>
        <v>9?4?4?1097732</v>
      </c>
    </row>
    <row r="113" spans="1:2" x14ac:dyDescent="0.3">
      <c r="A113" t="s">
        <v>418</v>
      </c>
      <c r="B113" t="str" cm="1">
        <f t="array" ref="B113">TranslateFromLiteral(tab\Persons[[#This Row],[Person]])</f>
        <v>9177?77989</v>
      </c>
    </row>
    <row r="114" spans="1:2" x14ac:dyDescent="0.3">
      <c r="A114" t="s">
        <v>388</v>
      </c>
      <c r="B114" t="str" cm="1">
        <f t="array" ref="B114">TranslateFromLiteral(tab\Persons[[#This Row],[Person]])</f>
        <v>9177?902102</v>
      </c>
    </row>
    <row r="115" spans="1:2" x14ac:dyDescent="0.3">
      <c r="A115" t="s">
        <v>265</v>
      </c>
      <c r="B115" t="str" cm="1">
        <f t="array" ref="B115">TranslateFromLiteral(tab\Persons[[#This Row],[Person]])</f>
        <v>9177?277609002</v>
      </c>
    </row>
    <row r="116" spans="1:2" x14ac:dyDescent="0.3">
      <c r="A116" t="s">
        <v>251</v>
      </c>
      <c r="B116" t="str" cm="1">
        <f t="array" ref="B116">TranslateFromLiteral(tab\Persons[[#This Row],[Person]])</f>
        <v>9177?0814405</v>
      </c>
    </row>
    <row r="117" spans="1:2" x14ac:dyDescent="0.3">
      <c r="A117" t="s">
        <v>185</v>
      </c>
      <c r="B117" t="str" cm="1">
        <f t="array" ref="B117">TranslateFromLiteral(tab\Persons[[#This Row],[Person]])</f>
        <v>913314</v>
      </c>
    </row>
    <row r="118" spans="1:2" x14ac:dyDescent="0.3">
      <c r="A118" t="s">
        <v>182</v>
      </c>
      <c r="B118" t="str" cm="1">
        <f t="array" ref="B118">TranslateFromLiteral(tab\Persons[[#This Row],[Person]])</f>
        <v>91230?8021</v>
      </c>
    </row>
    <row r="119" spans="1:2" x14ac:dyDescent="0.3">
      <c r="A119" t="s">
        <v>222</v>
      </c>
      <c r="B119" t="str" cm="1">
        <f t="array" ref="B119">TranslateFromLiteral(tab\Persons[[#This Row],[Person]])</f>
        <v>91230?8??05997512</v>
      </c>
    </row>
    <row r="120" spans="1:2" x14ac:dyDescent="0.3">
      <c r="A120" t="s">
        <v>374</v>
      </c>
      <c r="B120" t="str" cm="1">
        <f t="array" ref="B120">TranslateFromLiteral(tab\Persons[[#This Row],[Person]])</f>
        <v>91230?511002</v>
      </c>
    </row>
    <row r="121" spans="1:2" x14ac:dyDescent="0.3">
      <c r="A121" t="s">
        <v>393</v>
      </c>
      <c r="B121" t="str" cm="1">
        <f t="array" ref="B121">TranslateFromLiteral(tab\Persons[[#This Row],[Person]])</f>
        <v>91230?5111</v>
      </c>
    </row>
    <row r="122" spans="1:2" x14ac:dyDescent="0.3">
      <c r="A122" t="s">
        <v>212</v>
      </c>
      <c r="B122" t="str" cm="1">
        <f t="array" ref="B122">TranslateFromLiteral(tab\Persons[[#This Row],[Person]])</f>
        <v>912?777?00873077</v>
      </c>
    </row>
    <row r="123" spans="1:2" x14ac:dyDescent="0.3">
      <c r="A123" t="s">
        <v>247</v>
      </c>
      <c r="B123" t="str" cm="1">
        <f t="array" ref="B123">TranslateFromLiteral(tab\Persons[[#This Row],[Person]])</f>
        <v>9120077</v>
      </c>
    </row>
    <row r="124" spans="1:2" x14ac:dyDescent="0.3">
      <c r="A124" t="s">
        <v>850</v>
      </c>
      <c r="B124" t="str" cm="1">
        <f t="array" ref="B124">TranslateFromLiteral(tab\Persons[[#This Row],[Person]])</f>
        <v>91002</v>
      </c>
    </row>
    <row r="125" spans="1:2" x14ac:dyDescent="0.3">
      <c r="A125" t="s">
        <v>874</v>
      </c>
      <c r="B125" t="str" cm="1">
        <f t="array" ref="B125">TranslateFromLiteral(tab\Persons[[#This Row],[Person]])</f>
        <v>9312?957?877141</v>
      </c>
    </row>
    <row r="126" spans="1:2" x14ac:dyDescent="0.3">
      <c r="A126" t="s">
        <v>426</v>
      </c>
      <c r="B126" t="str" cm="1">
        <f t="array" ref="B126">TranslateFromLiteral(tab\Persons[[#This Row],[Person]])</f>
        <v>93449</v>
      </c>
    </row>
    <row r="127" spans="1:2" x14ac:dyDescent="0.3">
      <c r="A127" t="s">
        <v>213</v>
      </c>
      <c r="B127" t="str" cm="1">
        <f t="array" ref="B127">TranslateFromLiteral(tab\Persons[[#This Row],[Person]])</f>
        <v>93409?75757071</v>
      </c>
    </row>
    <row r="128" spans="1:2" x14ac:dyDescent="0.3">
      <c r="A128" t="s">
        <v>333</v>
      </c>
      <c r="B128" t="str" cm="1">
        <f t="array" ref="B128">TranslateFromLiteral(tab\Persons[[#This Row],[Person]])</f>
        <v>9727?6321476</v>
      </c>
    </row>
    <row r="129" spans="1:2" x14ac:dyDescent="0.3">
      <c r="A129" t="s">
        <v>223</v>
      </c>
      <c r="B129" t="str" cm="1">
        <f t="array" ref="B129">TranslateFromLiteral(tab\Persons[[#This Row],[Person]])</f>
        <v>97227</v>
      </c>
    </row>
    <row r="130" spans="1:2" x14ac:dyDescent="0.3">
      <c r="A130" t="s">
        <v>868</v>
      </c>
      <c r="B130" t="str" cm="1">
        <f t="array" ref="B130">TranslateFromLiteral(tab\Persons[[#This Row],[Person]])</f>
        <v>901221?1?147</v>
      </c>
    </row>
    <row r="131" spans="1:2" x14ac:dyDescent="0.3">
      <c r="A131" t="s">
        <v>305</v>
      </c>
      <c r="B131" t="str" cm="1">
        <f t="array" ref="B131">TranslateFromLiteral(tab\Persons[[#This Row],[Person]])</f>
        <v>90612330?738934</v>
      </c>
    </row>
    <row r="132" spans="1:2" x14ac:dyDescent="0.3">
      <c r="A132" t="s">
        <v>476</v>
      </c>
      <c r="B132" t="str" cm="1">
        <f t="array" ref="B132">TranslateFromLiteral(tab\Persons[[#This Row],[Person]])</f>
        <v>9062?10971193</v>
      </c>
    </row>
    <row r="133" spans="1:2" x14ac:dyDescent="0.3">
      <c r="A133" t="s">
        <v>854</v>
      </c>
      <c r="B133" t="str" cm="1">
        <f t="array" ref="B133">TranslateFromLiteral(tab\Persons[[#This Row],[Person]])</f>
        <v>9062?152908</v>
      </c>
    </row>
    <row r="134" spans="1:2" x14ac:dyDescent="0.3">
      <c r="A134" t="s">
        <v>175</v>
      </c>
      <c r="B134" t="str" cm="1">
        <f t="array" ref="B134">TranslateFromLiteral(tab\Persons[[#This Row],[Person]])</f>
        <v>9062?932202</v>
      </c>
    </row>
    <row r="135" spans="1:2" x14ac:dyDescent="0.3">
      <c r="A135" t="s">
        <v>249</v>
      </c>
      <c r="B135" t="str" cm="1">
        <f t="array" ref="B135">TranslateFromLiteral(tab\Persons[[#This Row],[Person]])</f>
        <v>9062?41280</v>
      </c>
    </row>
    <row r="136" spans="1:2" x14ac:dyDescent="0.3">
      <c r="A136" t="s">
        <v>399</v>
      </c>
      <c r="B136" t="str" cm="1">
        <f t="array" ref="B136">TranslateFromLiteral(tab\Persons[[#This Row],[Person]])</f>
        <v>9062?40773339934</v>
      </c>
    </row>
    <row r="137" spans="1:2" x14ac:dyDescent="0.3">
      <c r="A137" t="s">
        <v>310</v>
      </c>
      <c r="B137" t="str" cm="1">
        <f t="array" ref="B137">TranslateFromLiteral(tab\Persons[[#This Row],[Person]])</f>
        <v>9062?14150911</v>
      </c>
    </row>
    <row r="138" spans="1:2" x14ac:dyDescent="0.3">
      <c r="A138" t="s">
        <v>252</v>
      </c>
      <c r="B138" t="str" cm="1">
        <f t="array" ref="B138">TranslateFromLiteral(tab\Persons[[#This Row],[Person]])</f>
        <v>906229?1388</v>
      </c>
    </row>
    <row r="139" spans="1:2" x14ac:dyDescent="0.3">
      <c r="A139" t="s">
        <v>540</v>
      </c>
      <c r="B139" t="str" cm="1">
        <f t="array" ref="B139">TranslateFromLiteral(tab\Persons[[#This Row],[Person]])</f>
        <v>900386723?70764123</v>
      </c>
    </row>
    <row r="140" spans="1:2" x14ac:dyDescent="0.3">
      <c r="A140" t="s">
        <v>214</v>
      </c>
      <c r="B140" t="str" cm="1">
        <f t="array" ref="B140">TranslateFromLiteral(tab\Persons[[#This Row],[Person]])</f>
        <v>9?033?87?051077</v>
      </c>
    </row>
    <row r="141" spans="1:2" x14ac:dyDescent="0.3">
      <c r="A141" t="s">
        <v>238</v>
      </c>
      <c r="B141" t="str" cm="1">
        <f t="array" ref="B141">TranslateFromLiteral(tab\Persons[[#This Row],[Person]])</f>
        <v>95971?4083410</v>
      </c>
    </row>
    <row r="142" spans="1:2" x14ac:dyDescent="0.3">
      <c r="A142" t="s">
        <v>233</v>
      </c>
      <c r="B142" t="str" cm="1">
        <f t="array" ref="B142">TranslateFromLiteral(tab\Persons[[#This Row],[Person]])</f>
        <v>95971?1920003270</v>
      </c>
    </row>
    <row r="143" spans="1:2" x14ac:dyDescent="0.3">
      <c r="A143" t="s">
        <v>379</v>
      </c>
      <c r="B143" t="str" cm="1">
        <f t="array" ref="B143">TranslateFromLiteral(tab\Persons[[#This Row],[Person]])</f>
        <v>9597500?731014</v>
      </c>
    </row>
    <row r="144" spans="1:2" x14ac:dyDescent="0.3">
      <c r="A144" t="s">
        <v>237</v>
      </c>
      <c r="B144" t="str" cm="1">
        <f t="array" ref="B144">TranslateFromLiteral(tab\Persons[[#This Row],[Person]])</f>
        <v>7113?5720931</v>
      </c>
    </row>
    <row r="145" spans="1:2" x14ac:dyDescent="0.3">
      <c r="A145" t="s">
        <v>242</v>
      </c>
      <c r="B145" t="str" cm="1">
        <f t="array" ref="B145">TranslateFromLiteral(tab\Persons[[#This Row],[Person]])</f>
        <v>711634723?0311?90230</v>
      </c>
    </row>
    <row r="146" spans="1:2" x14ac:dyDescent="0.3">
      <c r="A146" t="s">
        <v>270</v>
      </c>
      <c r="B146" t="str" cm="1">
        <f t="array" ref="B146">TranslateFromLiteral(tab\Persons[[#This Row],[Person]])</f>
        <v>73125?431530</v>
      </c>
    </row>
    <row r="147" spans="1:2" x14ac:dyDescent="0.3">
      <c r="A147" t="s">
        <v>402</v>
      </c>
      <c r="B147" t="str" cm="1">
        <f t="array" ref="B147">TranslateFromLiteral(tab\Persons[[#This Row],[Person]])</f>
        <v>734271</v>
      </c>
    </row>
    <row r="148" spans="1:2" x14ac:dyDescent="0.3">
      <c r="A148" t="s">
        <v>413</v>
      </c>
      <c r="B148" t="str" cm="1">
        <f t="array" ref="B148">TranslateFromLiteral(tab\Persons[[#This Row],[Person]])</f>
        <v>73572?7001234</v>
      </c>
    </row>
    <row r="149" spans="1:2" x14ac:dyDescent="0.3">
      <c r="A149" t="s">
        <v>230</v>
      </c>
      <c r="B149" t="str" cm="1">
        <f t="array" ref="B149">TranslateFromLiteral(tab\Persons[[#This Row],[Person]])</f>
        <v>793081141</v>
      </c>
    </row>
    <row r="150" spans="1:2" x14ac:dyDescent="0.3">
      <c r="A150" t="s">
        <v>347</v>
      </c>
      <c r="B150" t="str" cm="1">
        <f t="array" ref="B150">TranslateFromLiteral(tab\Persons[[#This Row],[Person]])</f>
        <v>7083?849121</v>
      </c>
    </row>
    <row r="151" spans="1:2" x14ac:dyDescent="0.3">
      <c r="A151" t="s">
        <v>159</v>
      </c>
      <c r="B151" t="str" cm="1">
        <f t="array" ref="B151">TranslateFromLiteral(tab\Persons[[#This Row],[Person]])</f>
        <v>70917</v>
      </c>
    </row>
    <row r="152" spans="1:2" x14ac:dyDescent="0.3">
      <c r="A152" t="s">
        <v>202</v>
      </c>
      <c r="B152" t="str" cm="1">
        <f t="array" ref="B152">TranslateFromLiteral(tab\Persons[[#This Row],[Person]])</f>
        <v>7002021511</v>
      </c>
    </row>
    <row r="153" spans="1:2" x14ac:dyDescent="0.3">
      <c r="A153" t="s">
        <v>246</v>
      </c>
      <c r="B153" t="str" cm="1">
        <f t="array" ref="B153">TranslateFromLiteral(tab\Persons[[#This Row],[Person]])</f>
        <v>7541?450039</v>
      </c>
    </row>
    <row r="154" spans="1:2" x14ac:dyDescent="0.3">
      <c r="A154" t="s">
        <v>157</v>
      </c>
      <c r="B154" t="str" cm="1">
        <f t="array" ref="B154">TranslateFromLiteral(tab\Persons[[#This Row],[Person]])</f>
        <v>91273901</v>
      </c>
    </row>
    <row r="155" spans="1:2" x14ac:dyDescent="0.3">
      <c r="A155" t="s">
        <v>156</v>
      </c>
      <c r="B155" t="str" cm="1">
        <f t="array" ref="B155">TranslateFromLiteral(tab\Persons[[#This Row],[Person]])</f>
        <v>9141?74031</v>
      </c>
    </row>
    <row r="156" spans="1:2" x14ac:dyDescent="0.3">
      <c r="A156" t="s">
        <v>311</v>
      </c>
      <c r="B156" t="str" cm="1">
        <f t="array" ref="B156">TranslateFromLiteral(tab\Persons[[#This Row],[Person]])</f>
        <v>93272</v>
      </c>
    </row>
    <row r="157" spans="1:2" x14ac:dyDescent="0.3">
      <c r="A157" t="s">
        <v>283</v>
      </c>
      <c r="B157" t="str" cm="1">
        <f t="array" ref="B157">TranslateFromLiteral(tab\Persons[[#This Row],[Person]])</f>
        <v>93021410?17?718470</v>
      </c>
    </row>
    <row r="158" spans="1:2" x14ac:dyDescent="0.3">
      <c r="A158" t="s">
        <v>510</v>
      </c>
      <c r="B158" t="str" cm="1">
        <f t="array" ref="B158">TranslateFromLiteral(tab\Persons[[#This Row],[Person]])</f>
        <v>9357?0141500</v>
      </c>
    </row>
    <row r="159" spans="1:2" x14ac:dyDescent="0.3">
      <c r="A159" t="s">
        <v>471</v>
      </c>
      <c r="B159" t="str" cm="1">
        <f t="array" ref="B159">TranslateFromLiteral(tab\Persons[[#This Row],[Person]])</f>
        <v>93570?7144099</v>
      </c>
    </row>
    <row r="160" spans="1:2" x14ac:dyDescent="0.3">
      <c r="A160" t="s">
        <v>263</v>
      </c>
      <c r="B160" t="str" cm="1">
        <f t="array" ref="B160">TranslateFromLiteral(tab\Persons[[#This Row],[Person]])</f>
        <v>97250?8159723</v>
      </c>
    </row>
    <row r="161" spans="1:2" x14ac:dyDescent="0.3">
      <c r="A161" t="s">
        <v>872</v>
      </c>
      <c r="B161" t="str" cm="1">
        <f t="array" ref="B161">TranslateFromLiteral(tab\Persons[[#This Row],[Person]])</f>
        <v>975?119904</v>
      </c>
    </row>
    <row r="162" spans="1:2" x14ac:dyDescent="0.3">
      <c r="A162" t="s">
        <v>172</v>
      </c>
      <c r="B162" t="str" cm="1">
        <f t="array" ref="B162">TranslateFromLiteral(tab\Persons[[#This Row],[Person]])</f>
        <v>951573?512?83160532</v>
      </c>
    </row>
    <row r="163" spans="1:2" x14ac:dyDescent="0.3">
      <c r="A163" t="s">
        <v>269</v>
      </c>
      <c r="B163" t="str" cm="1">
        <f t="array" ref="B163">TranslateFromLiteral(tab\Persons[[#This Row],[Person]])</f>
        <v>9570?13?35230</v>
      </c>
    </row>
    <row r="164" spans="1:2" x14ac:dyDescent="0.3">
      <c r="A164" t="s">
        <v>154</v>
      </c>
      <c r="B164" t="str" cm="1">
        <f t="array" ref="B164">TranslateFromLiteral(tab\Persons[[#This Row],[Person]])</f>
        <v>9573?079519734</v>
      </c>
    </row>
    <row r="165" spans="1:2" x14ac:dyDescent="0.3">
      <c r="A165" t="s">
        <v>154</v>
      </c>
      <c r="B165" t="str" cm="1">
        <f t="array" ref="B165">TranslateFromLiteral(tab\Persons[[#This Row],[Person]])</f>
        <v>9573?079519734</v>
      </c>
    </row>
    <row r="166" spans="1:2" x14ac:dyDescent="0.3">
      <c r="A166" t="s">
        <v>378</v>
      </c>
      <c r="B166" t="str" cm="1">
        <f t="array" ref="B166">TranslateFromLiteral(tab\Persons[[#This Row],[Person]])</f>
        <v>2131431?16117634</v>
      </c>
    </row>
    <row r="167" spans="1:2" x14ac:dyDescent="0.3">
      <c r="A167" t="s">
        <v>391</v>
      </c>
      <c r="B167" t="str" cm="1">
        <f t="array" ref="B167">TranslateFromLiteral(tab\Persons[[#This Row],[Person]])</f>
        <v>2161121?361217</v>
      </c>
    </row>
    <row r="168" spans="1:2" x14ac:dyDescent="0.3">
      <c r="A168" t="s">
        <v>248</v>
      </c>
      <c r="B168" t="str" cm="1">
        <f t="array" ref="B168">TranslateFromLiteral(tab\Persons[[#This Row],[Person]])</f>
        <v>21437?8343837070</v>
      </c>
    </row>
    <row r="169" spans="1:2" x14ac:dyDescent="0.3">
      <c r="A169" t="s">
        <v>319</v>
      </c>
      <c r="B169" t="str" cm="1">
        <f t="array" ref="B169">TranslateFromLiteral(tab\Persons[[#This Row],[Person]])</f>
        <v>21431431?60597612</v>
      </c>
    </row>
    <row r="170" spans="1:2" x14ac:dyDescent="0.3">
      <c r="A170" t="s">
        <v>180</v>
      </c>
      <c r="B170" t="str" cm="1">
        <f t="array" ref="B170">TranslateFromLiteral(tab\Persons[[#This Row],[Person]])</f>
        <v>??</v>
      </c>
    </row>
    <row r="171" spans="1:2" x14ac:dyDescent="0.3">
      <c r="A171" t="s">
        <v>386</v>
      </c>
      <c r="B171" t="str" cm="1">
        <f t="array" ref="B171">TranslateFromLiteral(tab\Persons[[#This Row],[Person]])</f>
        <v>2149972?202403</v>
      </c>
    </row>
    <row r="172" spans="1:2" x14ac:dyDescent="0.3">
      <c r="A172" t="s">
        <v>232</v>
      </c>
      <c r="B172" t="str" cm="1">
        <f t="array" ref="B172">TranslateFromLiteral(tab\Persons[[#This Row],[Person]])</f>
        <v>2111?6147</v>
      </c>
    </row>
    <row r="173" spans="1:2" x14ac:dyDescent="0.3">
      <c r="A173" t="s">
        <v>366</v>
      </c>
      <c r="B173" t="str" cm="1">
        <f t="array" ref="B173">TranslateFromLiteral(tab\Persons[[#This Row],[Person]])</f>
        <v>21534777</v>
      </c>
    </row>
    <row r="174" spans="1:2" x14ac:dyDescent="0.3">
      <c r="A174" t="s">
        <v>851</v>
      </c>
      <c r="B174" t="str" cm="1">
        <f t="array" ref="B174">TranslateFromLiteral(tab\Persons[[#This Row],[Person]])</f>
        <v>216?891277</v>
      </c>
    </row>
    <row r="175" spans="1:2" x14ac:dyDescent="0.3">
      <c r="A175" t="s">
        <v>392</v>
      </c>
      <c r="B175" t="str" cm="1">
        <f t="array" ref="B175">TranslateFromLiteral(tab\Persons[[#This Row],[Person]])</f>
        <v>2167279732?40830873443</v>
      </c>
    </row>
    <row r="176" spans="1:2" x14ac:dyDescent="0.3">
      <c r="A176" t="s">
        <v>862</v>
      </c>
      <c r="B176" t="str" cm="1">
        <f t="array" ref="B176">TranslateFromLiteral(tab\Persons[[#This Row],[Person]])</f>
        <v>27?8633</v>
      </c>
    </row>
    <row r="177" spans="1:2" x14ac:dyDescent="0.3">
      <c r="A177" t="s">
        <v>368</v>
      </c>
      <c r="B177" t="str" cm="1">
        <f t="array" ref="B177">TranslateFromLiteral(tab\Persons[[#This Row],[Person]])</f>
        <v>231501</v>
      </c>
    </row>
    <row r="178" spans="1:2" x14ac:dyDescent="0.3">
      <c r="A178" t="s">
        <v>243</v>
      </c>
      <c r="B178" t="str" cm="1">
        <f t="array" ref="B178">TranslateFromLiteral(tab\Persons[[#This Row],[Person]])</f>
        <v>23499?014338</v>
      </c>
    </row>
    <row r="179" spans="1:2" x14ac:dyDescent="0.3">
      <c r="A179" t="s">
        <v>186</v>
      </c>
      <c r="B179" t="str" cm="1">
        <f t="array" ref="B179">TranslateFromLiteral(tab\Persons[[#This Row],[Person]])</f>
        <v>2776139?904112</v>
      </c>
    </row>
    <row r="180" spans="1:2" x14ac:dyDescent="0.3">
      <c r="A180" t="s">
        <v>187</v>
      </c>
      <c r="B180" t="str" cm="1">
        <f t="array" ref="B180">TranslateFromLiteral(tab\Persons[[#This Row],[Person]])</f>
        <v>2776139?863980</v>
      </c>
    </row>
    <row r="181" spans="1:2" x14ac:dyDescent="0.3">
      <c r="A181" t="s">
        <v>250</v>
      </c>
      <c r="B181" t="str" cm="1">
        <f t="array" ref="B181">TranslateFromLiteral(tab\Persons[[#This Row],[Person]])</f>
        <v>2776139?84311</v>
      </c>
    </row>
    <row r="182" spans="1:2" x14ac:dyDescent="0.3">
      <c r="A182" t="s">
        <v>395</v>
      </c>
      <c r="B182" t="str" cm="1">
        <f t="array" ref="B182">TranslateFromLiteral(tab\Persons[[#This Row],[Person]])</f>
        <v>2776139?0765217634</v>
      </c>
    </row>
    <row r="183" spans="1:2" x14ac:dyDescent="0.3">
      <c r="A183" t="s">
        <v>478</v>
      </c>
      <c r="B183" t="str" cm="1">
        <f t="array" ref="B183">TranslateFromLiteral(tab\Persons[[#This Row],[Person]])</f>
        <v>277639123390?8502140117</v>
      </c>
    </row>
    <row r="184" spans="1:2" x14ac:dyDescent="0.3">
      <c r="A184" t="s">
        <v>384</v>
      </c>
      <c r="B184" t="str" cm="1">
        <f t="array" ref="B184">TranslateFromLiteral(tab\Persons[[#This Row],[Person]])</f>
        <v>2773?19002</v>
      </c>
    </row>
    <row r="185" spans="1:2" x14ac:dyDescent="0.3">
      <c r="A185" t="s">
        <v>176</v>
      </c>
      <c r="B185" t="str" cm="1">
        <f t="array" ref="B185">TranslateFromLiteral(tab\Persons[[#This Row],[Person]])</f>
        <v>202771?8399577</v>
      </c>
    </row>
    <row r="186" spans="1:2" x14ac:dyDescent="0.3">
      <c r="A186" t="s">
        <v>278</v>
      </c>
      <c r="B186" t="str" cm="1">
        <f t="array" ref="B186">TranslateFromLiteral(tab\Persons[[#This Row],[Person]])</f>
        <v>200272</v>
      </c>
    </row>
    <row r="187" spans="1:2" x14ac:dyDescent="0.3">
      <c r="A187" t="s">
        <v>266</v>
      </c>
      <c r="B187" t="str" cm="1">
        <f t="array" ref="B187">TranslateFromLiteral(tab\Persons[[#This Row],[Person]])</f>
        <v>204312?3433212</v>
      </c>
    </row>
    <row r="188" spans="1:2" x14ac:dyDescent="0.3">
      <c r="A188" t="s">
        <v>188</v>
      </c>
      <c r="B188" t="str" cm="1">
        <f t="array" ref="B188">TranslateFromLiteral(tab\Persons[[#This Row],[Person]])</f>
        <v>24??8312</v>
      </c>
    </row>
    <row r="189" spans="1:2" x14ac:dyDescent="0.3">
      <c r="A189" t="s">
        <v>152</v>
      </c>
      <c r="B189" t="str" cm="1">
        <f t="array" ref="B189">TranslateFromLiteral(tab\Persons[[#This Row],[Person]])</f>
        <v>253101</v>
      </c>
    </row>
    <row r="190" spans="1:2" x14ac:dyDescent="0.3">
      <c r="A190" t="s">
        <v>215</v>
      </c>
      <c r="B190" t="str" cm="1">
        <f t="array" ref="B190">TranslateFromLiteral(tab\Persons[[#This Row],[Person]])</f>
        <v>2527237</v>
      </c>
    </row>
    <row r="191" spans="1:2" x14ac:dyDescent="0.3">
      <c r="A191" t="s">
        <v>275</v>
      </c>
      <c r="B191" t="str" cm="1">
        <f t="array" ref="B191">TranslateFromLiteral(tab\Persons[[#This Row],[Person]])</f>
        <v>2912010?2501067</v>
      </c>
    </row>
    <row r="192" spans="1:2" x14ac:dyDescent="0.3">
      <c r="A192" t="s">
        <v>401</v>
      </c>
      <c r="B192" t="str" cm="1">
        <f t="array" ref="B192">TranslateFromLiteral(tab\Persons[[#This Row],[Person]])</f>
        <v>21171?702?2377</v>
      </c>
    </row>
    <row r="193" spans="1:2" x14ac:dyDescent="0.3">
      <c r="A193" t="s">
        <v>164</v>
      </c>
      <c r="B193" t="str" cm="1">
        <f t="array" ref="B193">TranslateFromLiteral(tab\Persons[[#This Row],[Person]])</f>
        <v>21809302?802181413</v>
      </c>
    </row>
    <row r="194" spans="1:2" x14ac:dyDescent="0.3">
      <c r="A194" t="s">
        <v>151</v>
      </c>
      <c r="B194" t="str" cm="1">
        <f t="array" ref="B194">TranslateFromLiteral(tab\Persons[[#This Row],[Person]])</f>
        <v>233341717</v>
      </c>
    </row>
    <row r="195" spans="1:2" x14ac:dyDescent="0.3">
      <c r="A195" t="s">
        <v>149</v>
      </c>
      <c r="B195" t="str" cm="1">
        <f t="array" ref="B195">TranslateFromLiteral(tab\Persons[[#This Row],[Person]])</f>
        <v>2379?142014023</v>
      </c>
    </row>
    <row r="196" spans="1:2" x14ac:dyDescent="0.3">
      <c r="A196" t="s">
        <v>150</v>
      </c>
      <c r="B196" t="str" cm="1">
        <f t="array" ref="B196">TranslateFromLiteral(tab\Persons[[#This Row],[Person]])</f>
        <v>239002?2121391</v>
      </c>
    </row>
    <row r="197" spans="1:2" x14ac:dyDescent="0.3">
      <c r="A197" t="s">
        <v>148</v>
      </c>
      <c r="B197" t="str" cm="1">
        <f t="array" ref="B197">TranslateFromLiteral(tab\Persons[[#This Row],[Person]])</f>
        <v>230</v>
      </c>
    </row>
    <row r="198" spans="1:2" x14ac:dyDescent="0.3">
      <c r="A198" t="s">
        <v>221</v>
      </c>
      <c r="B198" t="str" cm="1">
        <f t="array" ref="B198">TranslateFromLiteral(tab\Persons[[#This Row],[Person]])</f>
        <v>2391747</v>
      </c>
    </row>
    <row r="199" spans="1:2" x14ac:dyDescent="0.3">
      <c r="A199" t="s">
        <v>293</v>
      </c>
      <c r="B199" t="str" cm="1">
        <f t="array" ref="B199">TranslateFromLiteral(tab\Persons[[#This Row],[Person]])</f>
        <v>27709150?7083427750</v>
      </c>
    </row>
    <row r="200" spans="1:2" x14ac:dyDescent="0.3">
      <c r="A200" t="s">
        <v>377</v>
      </c>
      <c r="B200" t="str" cm="1">
        <f t="array" ref="B200">TranslateFromLiteral(tab\Persons[[#This Row],[Person]])</f>
        <v>27390?8064</v>
      </c>
    </row>
    <row r="201" spans="1:2" x14ac:dyDescent="0.3">
      <c r="A201" t="s">
        <v>295</v>
      </c>
      <c r="B201" t="str" cm="1">
        <f t="array" ref="B201">TranslateFromLiteral(tab\Persons[[#This Row],[Person]])</f>
        <v>2777?91511</v>
      </c>
    </row>
    <row r="202" spans="1:2" x14ac:dyDescent="0.3">
      <c r="A202" t="s">
        <v>141</v>
      </c>
      <c r="B202" t="str" cm="1">
        <f t="array" ref="B202">TranslateFromLiteral(tab\Persons[[#This Row],[Person]])</f>
        <v>277091?13091</v>
      </c>
    </row>
    <row r="203" spans="1:2" x14ac:dyDescent="0.3">
      <c r="A203" t="s">
        <v>296</v>
      </c>
      <c r="B203" t="str" cm="1">
        <f t="array" ref="B203">TranslateFromLiteral(tab\Persons[[#This Row],[Person]])</f>
        <v>20014111250</v>
      </c>
    </row>
    <row r="204" spans="1:2" x14ac:dyDescent="0.3">
      <c r="A204" t="s">
        <v>306</v>
      </c>
      <c r="B204" t="str" cm="1">
        <f t="array" ref="B204">TranslateFromLiteral(tab\Persons[[#This Row],[Person]])</f>
        <v>083976</v>
      </c>
    </row>
    <row r="205" spans="1:2" x14ac:dyDescent="0.3">
      <c r="A205" t="s">
        <v>291</v>
      </c>
      <c r="B205" t="str" cm="1">
        <f t="array" ref="B205">TranslateFromLiteral(tab\Persons[[#This Row],[Person]])</f>
        <v>087?512?732087</v>
      </c>
    </row>
    <row r="206" spans="1:2" x14ac:dyDescent="0.3">
      <c r="A206" t="s">
        <v>235</v>
      </c>
      <c r="B206" t="str" cm="1">
        <f t="array" ref="B206">TranslateFromLiteral(tab\Persons[[#This Row],[Person]])</f>
        <v>08416?5723439</v>
      </c>
    </row>
    <row r="207" spans="1:2" x14ac:dyDescent="0.3">
      <c r="A207" t="s">
        <v>309</v>
      </c>
      <c r="B207" t="str" cm="1">
        <f t="array" ref="B207">TranslateFromLiteral(tab\Persons[[#This Row],[Person]])</f>
        <v>81890?3070814</v>
      </c>
    </row>
    <row r="208" spans="1:2" x14ac:dyDescent="0.3">
      <c r="A208" t="s">
        <v>241</v>
      </c>
      <c r="B208" t="str" cm="1">
        <f t="array" ref="B208">TranslateFromLiteral(tab\Persons[[#This Row],[Person]])</f>
        <v>812391?12134002</v>
      </c>
    </row>
    <row r="209" spans="1:2" x14ac:dyDescent="0.3">
      <c r="A209" t="s">
        <v>239</v>
      </c>
      <c r="B209" t="str" cm="1">
        <f t="array" ref="B209">TranslateFromLiteral(tab\Persons[[#This Row],[Person]])</f>
        <v>83239083?7450</v>
      </c>
    </row>
    <row r="210" spans="1:2" x14ac:dyDescent="0.3">
      <c r="A210" t="s">
        <v>332</v>
      </c>
      <c r="B210" t="str" cm="1">
        <f t="array" ref="B210">TranslateFromLiteral(tab\Persons[[#This Row],[Person]])</f>
        <v>83229?6030111134</v>
      </c>
    </row>
    <row r="211" spans="1:2" x14ac:dyDescent="0.3">
      <c r="A211" t="s">
        <v>162</v>
      </c>
      <c r="B211" t="str" cm="1">
        <f t="array" ref="B211">TranslateFromLiteral(tab\Persons[[#This Row],[Person]])</f>
        <v>860383?853319</v>
      </c>
    </row>
    <row r="212" spans="1:2" x14ac:dyDescent="0.3">
      <c r="A212" t="s">
        <v>875</v>
      </c>
      <c r="B212" t="str" cm="1">
        <f t="array" ref="B212">TranslateFromLiteral(tab\Persons[[#This Row],[Person]])</f>
        <v>873473?8400212</v>
      </c>
    </row>
    <row r="213" spans="1:2" x14ac:dyDescent="0.3">
      <c r="A213" t="s">
        <v>390</v>
      </c>
      <c r="B213" t="str" cm="1">
        <f t="array" ref="B213">TranslateFromLiteral(tab\Persons[[#This Row],[Person]])</f>
        <v>??</v>
      </c>
    </row>
    <row r="214" spans="1:2" x14ac:dyDescent="0.3">
      <c r="A214" t="s">
        <v>408</v>
      </c>
      <c r="B214" t="str" cm="1">
        <f t="array" ref="B214">TranslateFromLiteral(tab\Persons[[#This Row],[Person]])</f>
        <v>8720770</v>
      </c>
    </row>
    <row r="215" spans="1:2" x14ac:dyDescent="0.3">
      <c r="A215" t="s">
        <v>387</v>
      </c>
      <c r="B215" t="str" cm="1">
        <f t="array" ref="B215">TranslateFromLiteral(tab\Persons[[#This Row],[Person]])</f>
        <v>80037102</v>
      </c>
    </row>
    <row r="216" spans="1:2" x14ac:dyDescent="0.3">
      <c r="A216" t="s">
        <v>420</v>
      </c>
      <c r="B216" t="str" cm="1">
        <f t="array" ref="B216">TranslateFromLiteral(tab\Persons[[#This Row],[Person]])</f>
        <v>8402313500</v>
      </c>
    </row>
    <row r="217" spans="1:2" x14ac:dyDescent="0.3">
      <c r="A217" t="s">
        <v>298</v>
      </c>
      <c r="B217" t="str" cm="1">
        <f t="array" ref="B217">TranslateFromLiteral(tab\Persons[[#This Row],[Person]])</f>
        <v>4?1?</v>
      </c>
    </row>
    <row r="218" spans="1:2" x14ac:dyDescent="0.3">
      <c r="A218" t="s">
        <v>153</v>
      </c>
      <c r="B218" t="str" cm="1">
        <f t="array" ref="B218">TranslateFromLiteral(tab\Persons[[#This Row],[Person]])</f>
        <v>41852039</v>
      </c>
    </row>
    <row r="219" spans="1:2" x14ac:dyDescent="0.3">
      <c r="A219" t="s">
        <v>184</v>
      </c>
      <c r="B219" t="str" cm="1">
        <f t="array" ref="B219">TranslateFromLiteral(tab\Persons[[#This Row],[Person]])</f>
        <v>4376091?2300234</v>
      </c>
    </row>
    <row r="220" spans="1:2" x14ac:dyDescent="0.3">
      <c r="A220" t="s">
        <v>307</v>
      </c>
      <c r="B220" t="str" cm="1">
        <f t="array" ref="B220">TranslateFromLiteral(tab\Persons[[#This Row],[Person]])</f>
        <v>4325950???43250</v>
      </c>
    </row>
    <row r="221" spans="1:2" x14ac:dyDescent="0.3">
      <c r="A221" t="s">
        <v>273</v>
      </c>
      <c r="B221" t="str" cm="1">
        <f t="array" ref="B221">TranslateFromLiteral(tab\Persons[[#This Row],[Person]])</f>
        <v>4776141?3392212</v>
      </c>
    </row>
    <row r="222" spans="1:2" x14ac:dyDescent="0.3">
      <c r="A222" t="s">
        <v>507</v>
      </c>
      <c r="B222" t="str" cm="1">
        <f t="array" ref="B222">TranslateFromLiteral(tab\Persons[[#This Row],[Person]])</f>
        <v>??</v>
      </c>
    </row>
    <row r="223" spans="1:2" x14ac:dyDescent="0.3">
      <c r="A223" t="s">
        <v>297</v>
      </c>
      <c r="B223" t="str" cm="1">
        <f t="array" ref="B223">TranslateFromLiteral(tab\Persons[[#This Row],[Person]])</f>
        <v>4711?9357?2021197727</v>
      </c>
    </row>
    <row r="224" spans="1:2" x14ac:dyDescent="0.3">
      <c r="A224" t="s">
        <v>264</v>
      </c>
      <c r="B224" t="str" cm="1">
        <f t="array" ref="B224">TranslateFromLiteral(tab\Persons[[#This Row],[Person]])</f>
        <v>408341?13?2740</v>
      </c>
    </row>
    <row r="225" spans="1:2" x14ac:dyDescent="0.3">
      <c r="A225" t="s">
        <v>274</v>
      </c>
      <c r="B225" t="str" cm="1">
        <f t="array" ref="B225">TranslateFromLiteral(tab\Persons[[#This Row],[Person]])</f>
        <v>408341?08832637234</v>
      </c>
    </row>
    <row r="226" spans="1:2" x14ac:dyDescent="0.3">
      <c r="A226" t="s">
        <v>143</v>
      </c>
      <c r="B226" t="str" cm="1">
        <f t="array" ref="B226">TranslateFromLiteral(tab\Persons[[#This Row],[Person]])</f>
        <v>40872?6001</v>
      </c>
    </row>
    <row r="227" spans="1:2" x14ac:dyDescent="0.3">
      <c r="A227" t="s">
        <v>262</v>
      </c>
      <c r="B227" t="str" cm="1">
        <f t="array" ref="B227">TranslateFromLiteral(tab\Persons[[#This Row],[Person]])</f>
        <v>451093?53739</v>
      </c>
    </row>
    <row r="228" spans="1:2" x14ac:dyDescent="0.3">
      <c r="A228" t="s">
        <v>350</v>
      </c>
      <c r="B228" t="str" cm="1">
        <f t="array" ref="B228">TranslateFromLiteral(tab\Persons[[#This Row],[Person]])</f>
        <v>450039?74053</v>
      </c>
    </row>
    <row r="229" spans="1:2" x14ac:dyDescent="0.3">
      <c r="A229" t="s">
        <v>146</v>
      </c>
      <c r="B229" t="str" cm="1">
        <f t="array" ref="B229">TranslateFromLiteral(tab\Persons[[#This Row],[Person]])</f>
        <v>017904?2002</v>
      </c>
    </row>
    <row r="230" spans="1:2" x14ac:dyDescent="0.3">
      <c r="A230" t="s">
        <v>136</v>
      </c>
      <c r="B230" t="str" cm="1">
        <f t="array" ref="B230">TranslateFromLiteral(tab\Persons[[#This Row],[Person]])</f>
        <v>01951104?1197</v>
      </c>
    </row>
    <row r="231" spans="1:2" x14ac:dyDescent="0.3">
      <c r="A231" t="s">
        <v>245</v>
      </c>
      <c r="B231" t="str" cm="1">
        <f t="array" ref="B231">TranslateFromLiteral(tab\Persons[[#This Row],[Person]])</f>
        <v>01211?79150</v>
      </c>
    </row>
    <row r="232" spans="1:2" x14ac:dyDescent="0.3">
      <c r="A232" t="s">
        <v>320</v>
      </c>
      <c r="B232" t="str" cm="1">
        <f t="array" ref="B232">TranslateFromLiteral(tab\Persons[[#This Row],[Person]])</f>
        <v>0145212</v>
      </c>
    </row>
    <row r="233" spans="1:2" x14ac:dyDescent="0.3">
      <c r="A233" t="s">
        <v>877</v>
      </c>
      <c r="B233" t="str" cm="1">
        <f t="array" ref="B233">TranslateFromLiteral(tab\Persons[[#This Row],[Person]])</f>
        <v>0312?7022349</v>
      </c>
    </row>
    <row r="234" spans="1:2" x14ac:dyDescent="0.3">
      <c r="A234" t="s">
        <v>385</v>
      </c>
      <c r="B234" t="str" cm="1">
        <f t="array" ref="B234">TranslateFromLiteral(tab\Persons[[#This Row],[Person]])</f>
        <v>034321?57997120</v>
      </c>
    </row>
    <row r="235" spans="1:2" x14ac:dyDescent="0.3">
      <c r="A235" t="s">
        <v>412</v>
      </c>
      <c r="B235" t="str" cm="1">
        <f t="array" ref="B235">TranslateFromLiteral(tab\Persons[[#This Row],[Person]])</f>
        <v>061?71447?4776141002</v>
      </c>
    </row>
    <row r="236" spans="1:2" x14ac:dyDescent="0.3">
      <c r="A236" t="s">
        <v>225</v>
      </c>
      <c r="B236" t="str" cm="1">
        <f t="array" ref="B236">TranslateFromLiteral(tab\Persons[[#This Row],[Person]])</f>
        <v>0617741</v>
      </c>
    </row>
    <row r="237" spans="1:2" x14ac:dyDescent="0.3">
      <c r="A237" t="s">
        <v>313</v>
      </c>
      <c r="B237" t="str" cm="1">
        <f t="array" ref="B237">TranslateFromLiteral(tab\Persons[[#This Row],[Person]])</f>
        <v>0639102?700834</v>
      </c>
    </row>
    <row r="238" spans="1:2" x14ac:dyDescent="0.3">
      <c r="A238" t="s">
        <v>169</v>
      </c>
      <c r="B238" t="str" cm="1">
        <f t="array" ref="B238">TranslateFromLiteral(tab\Persons[[#This Row],[Person]])</f>
        <v>06349077?609230</v>
      </c>
    </row>
    <row r="239" spans="1:2" x14ac:dyDescent="0.3">
      <c r="A239" t="s">
        <v>220</v>
      </c>
      <c r="B239" t="str" cm="1">
        <f t="array" ref="B239">TranslateFromLiteral(tab\Persons[[#This Row],[Person]])</f>
        <v>06437</v>
      </c>
    </row>
    <row r="240" spans="1:2" x14ac:dyDescent="0.3">
      <c r="A240" t="s">
        <v>240</v>
      </c>
      <c r="B240" t="str" cm="1">
        <f t="array" ref="B240">TranslateFromLiteral(tab\Persons[[#This Row],[Person]])</f>
        <v>073054239?531534</v>
      </c>
    </row>
    <row r="241" spans="1:2" x14ac:dyDescent="0.3">
      <c r="A241" t="s">
        <v>463</v>
      </c>
      <c r="B241" t="str" cm="1">
        <f t="array" ref="B241">TranslateFromLiteral(tab\Persons[[#This Row],[Person]])</f>
        <v>07098650</v>
      </c>
    </row>
    <row r="242" spans="1:2" x14ac:dyDescent="0.3">
      <c r="A242" t="s">
        <v>144</v>
      </c>
      <c r="B242" t="str" cm="1">
        <f t="array" ref="B242">TranslateFromLiteral(tab\Persons[[#This Row],[Person]])</f>
        <v>020089</v>
      </c>
    </row>
    <row r="243" spans="1:2" x14ac:dyDescent="0.3">
      <c r="A243" t="s">
        <v>376</v>
      </c>
      <c r="B243" t="str" cm="1">
        <f t="array" ref="B243">TranslateFromLiteral(tab\Persons[[#This Row],[Person]])</f>
        <v>00741130</v>
      </c>
    </row>
    <row r="244" spans="1:2" x14ac:dyDescent="0.3">
      <c r="A244" t="s">
        <v>417</v>
      </c>
      <c r="B244" t="str" cm="1">
        <f t="array" ref="B244">TranslateFromLiteral(tab\Persons[[#This Row],[Person]])</f>
        <v>00776740?60211</v>
      </c>
    </row>
    <row r="245" spans="1:2" x14ac:dyDescent="0.3">
      <c r="A245" t="s">
        <v>139</v>
      </c>
      <c r="B245" t="str" cm="1">
        <f t="array" ref="B245">TranslateFromLiteral(tab\Persons[[#This Row],[Person]])</f>
        <v>087134212</v>
      </c>
    </row>
    <row r="246" spans="1:2" x14ac:dyDescent="0.3">
      <c r="A246" t="s">
        <v>346</v>
      </c>
      <c r="B246" t="str" cm="1">
        <f t="array" ref="B246">TranslateFromLiteral(tab\Persons[[#This Row],[Person]])</f>
        <v>08077</v>
      </c>
    </row>
    <row r="247" spans="1:2" x14ac:dyDescent="0.3">
      <c r="A247" t="s">
        <v>539</v>
      </c>
      <c r="B247" t="str" cm="1">
        <f t="array" ref="B247">TranslateFromLiteral(tab\Persons[[#This Row],[Person]])</f>
        <v>0112?933</v>
      </c>
    </row>
    <row r="248" spans="1:2" x14ac:dyDescent="0.3">
      <c r="A248" t="s">
        <v>261</v>
      </c>
      <c r="B248" t="str" cm="1">
        <f t="array" ref="B248">TranslateFromLiteral(tab\Persons[[#This Row],[Person]])</f>
        <v>013312?812176</v>
      </c>
    </row>
    <row r="249" spans="1:2" x14ac:dyDescent="0.3">
      <c r="A249" t="s">
        <v>137</v>
      </c>
      <c r="B249" t="str" cm="1">
        <f t="array" ref="B249">TranslateFromLiteral(tab\Persons[[#This Row],[Person]])</f>
        <v>01353?9080</v>
      </c>
    </row>
    <row r="250" spans="1:2" x14ac:dyDescent="0.3">
      <c r="A250" t="s">
        <v>394</v>
      </c>
      <c r="B250" t="str" cm="1">
        <f t="array" ref="B250">TranslateFromLiteral(tab\Persons[[#This Row],[Person]])</f>
        <v>01353?5002717</v>
      </c>
    </row>
    <row r="251" spans="1:2" x14ac:dyDescent="0.3">
      <c r="A251" t="s">
        <v>260</v>
      </c>
      <c r="B251" t="str" cm="1">
        <f t="array" ref="B251">TranslateFromLiteral(tab\Persons[[#This Row],[Person]])</f>
        <v>013532?6157723</v>
      </c>
    </row>
    <row r="252" spans="1:2" x14ac:dyDescent="0.3">
      <c r="A252" t="s">
        <v>389</v>
      </c>
      <c r="B252" t="str" cm="1">
        <f t="array" ref="B252">TranslateFromLiteral(tab\Persons[[#This Row],[Person]])</f>
        <v>013532?08798343</v>
      </c>
    </row>
    <row r="253" spans="1:2" x14ac:dyDescent="0.3">
      <c r="A253" t="s">
        <v>145</v>
      </c>
      <c r="B253" t="str" cm="1">
        <f t="array" ref="B253">TranslateFromLiteral(tab\Persons[[#This Row],[Person]])</f>
        <v>05834212</v>
      </c>
    </row>
    <row r="254" spans="1:2" x14ac:dyDescent="0.3">
      <c r="A254" t="s">
        <v>135</v>
      </c>
      <c r="B254" t="str" cm="1">
        <f t="array" ref="B254">TranslateFromLiteral(tab\Persons[[#This Row],[Person]])</f>
        <v>099530134?01199023</v>
      </c>
    </row>
    <row r="255" spans="1:2" x14ac:dyDescent="0.3">
      <c r="A255" t="s">
        <v>294</v>
      </c>
      <c r="B255" t="str" cm="1">
        <f t="array" ref="B255">TranslateFromLiteral(tab\Persons[[#This Row],[Person]])</f>
        <v>1113500?70?7750070</v>
      </c>
    </row>
    <row r="256" spans="1:2" x14ac:dyDescent="0.3">
      <c r="A256" t="s">
        <v>443</v>
      </c>
      <c r="B256" t="str" cm="1">
        <f t="array" ref="B256">TranslateFromLiteral(tab\Persons[[#This Row],[Person]])</f>
        <v>??</v>
      </c>
    </row>
    <row r="257" spans="1:2" x14ac:dyDescent="0.3">
      <c r="A257" t="s">
        <v>345</v>
      </c>
      <c r="B257" t="str" cm="1">
        <f t="array" ref="B257">TranslateFromLiteral(tab\Persons[[#This Row],[Person]])</f>
        <v>13449?841176311</v>
      </c>
    </row>
    <row r="258" spans="1:2" x14ac:dyDescent="0.3">
      <c r="A258" t="s">
        <v>422</v>
      </c>
      <c r="B258" t="str" cm="1">
        <f t="array" ref="B258">TranslateFromLiteral(tab\Persons[[#This Row],[Person]])</f>
        <v>1631043?40005391</v>
      </c>
    </row>
    <row r="259" spans="1:2" x14ac:dyDescent="0.3">
      <c r="A259" t="s">
        <v>382</v>
      </c>
      <c r="B259" t="str" cm="1">
        <f t="array" ref="B259">TranslateFromLiteral(tab\Persons[[#This Row],[Person]])</f>
        <v>160210?317002</v>
      </c>
    </row>
    <row r="260" spans="1:2" x14ac:dyDescent="0.3">
      <c r="A260" t="s">
        <v>140</v>
      </c>
      <c r="B260" t="str" cm="1">
        <f t="array" ref="B260">TranslateFromLiteral(tab\Persons[[#This Row],[Person]])</f>
        <v>160210?933334002</v>
      </c>
    </row>
    <row r="261" spans="1:2" x14ac:dyDescent="0.3">
      <c r="A261" t="s">
        <v>485</v>
      </c>
      <c r="B261" t="str" cm="1">
        <f t="array" ref="B261">TranslateFromLiteral(tab\Persons[[#This Row],[Person]])</f>
        <v>160210?2122</v>
      </c>
    </row>
    <row r="262" spans="1:2" x14ac:dyDescent="0.3">
      <c r="A262" t="s">
        <v>372</v>
      </c>
      <c r="B262" t="str" cm="1">
        <f t="array" ref="B262">TranslateFromLiteral(tab\Persons[[#This Row],[Person]])</f>
        <v>1604</v>
      </c>
    </row>
    <row r="263" spans="1:2" x14ac:dyDescent="0.3">
      <c r="A263" t="s">
        <v>415</v>
      </c>
      <c r="B263" t="str" cm="1">
        <f t="array" ref="B263">TranslateFromLiteral(tab\Persons[[#This Row],[Person]])</f>
        <v>1604?639341169</v>
      </c>
    </row>
    <row r="264" spans="1:2" x14ac:dyDescent="0.3">
      <c r="A264" t="s">
        <v>289</v>
      </c>
      <c r="B264" t="str" cm="1">
        <f t="array" ref="B264">TranslateFromLiteral(tab\Persons[[#This Row],[Person]])</f>
        <v>160472</v>
      </c>
    </row>
    <row r="265" spans="1:2" x14ac:dyDescent="0.3">
      <c r="A265" t="s">
        <v>873</v>
      </c>
      <c r="B265" t="str" cm="1">
        <f t="array" ref="B265">TranslateFromLiteral(tab\Persons[[#This Row],[Person]])</f>
        <v>172?854102</v>
      </c>
    </row>
    <row r="266" spans="1:2" x14ac:dyDescent="0.3">
      <c r="A266" t="s">
        <v>147</v>
      </c>
      <c r="B266" t="str" cm="1">
        <f t="array" ref="B266">TranslateFromLiteral(tab\Persons[[#This Row],[Person]])</f>
        <v>1721?154234</v>
      </c>
    </row>
    <row r="267" spans="1:2" x14ac:dyDescent="0.3">
      <c r="A267" t="s">
        <v>147</v>
      </c>
      <c r="B267" t="str" cm="1">
        <f t="array" ref="B267">TranslateFromLiteral(tab\Persons[[#This Row],[Person]])</f>
        <v>1721?154234</v>
      </c>
    </row>
    <row r="268" spans="1:2" x14ac:dyDescent="0.3">
      <c r="A268" t="s">
        <v>292</v>
      </c>
      <c r="B268" t="str" cm="1">
        <f t="array" ref="B268">TranslateFromLiteral(tab\Persons[[#This Row],[Person]])</f>
        <v>102?61270</v>
      </c>
    </row>
    <row r="269" spans="1:2" x14ac:dyDescent="0.3">
      <c r="A269" t="s">
        <v>853</v>
      </c>
      <c r="B269" t="str" cm="1">
        <f t="array" ref="B269">TranslateFromLiteral(tab\Persons[[#This Row],[Person]])</f>
        <v>10210?2043</v>
      </c>
    </row>
    <row r="270" spans="1:2" x14ac:dyDescent="0.3">
      <c r="A270" t="s">
        <v>365</v>
      </c>
      <c r="B270" t="str" cm="1">
        <f t="array" ref="B270">TranslateFromLiteral(tab\Persons[[#This Row],[Person]])</f>
        <v>1029?01147</v>
      </c>
    </row>
    <row r="271" spans="1:2" x14ac:dyDescent="0.3">
      <c r="A271" t="s">
        <v>207</v>
      </c>
      <c r="B271" t="str" cm="1">
        <f t="array" ref="B271">TranslateFromLiteral(tab\Persons[[#This Row],[Person]])</f>
        <v>1472719</v>
      </c>
    </row>
    <row r="272" spans="1:2" x14ac:dyDescent="0.3">
      <c r="A272" t="s">
        <v>848</v>
      </c>
      <c r="B272" t="str" cm="1">
        <f t="array" ref="B272">TranslateFromLiteral(tab\Persons[[#This Row],[Person]])</f>
        <v>149102</v>
      </c>
    </row>
    <row r="273" spans="1:2" x14ac:dyDescent="0.3">
      <c r="A273" t="s">
        <v>227</v>
      </c>
      <c r="B273" t="str" cm="1">
        <f t="array" ref="B273">TranslateFromLiteral(tab\Persons[[#This Row],[Person]])</f>
        <v>5123001?213</v>
      </c>
    </row>
    <row r="274" spans="1:2" x14ac:dyDescent="0.3">
      <c r="A274" t="s">
        <v>446</v>
      </c>
      <c r="B274" t="str" cm="1">
        <f t="array" ref="B274">TranslateFromLiteral(tab\Persons[[#This Row],[Person]])</f>
        <v>53202?</v>
      </c>
    </row>
    <row r="275" spans="1:2" x14ac:dyDescent="0.3">
      <c r="A275" t="s">
        <v>341</v>
      </c>
      <c r="B275" t="str" cm="1">
        <f t="array" ref="B275">TranslateFromLiteral(tab\Persons[[#This Row],[Person]])</f>
        <v>5727321?512?3036</v>
      </c>
    </row>
    <row r="276" spans="1:2" x14ac:dyDescent="0.3">
      <c r="A276" t="s">
        <v>414</v>
      </c>
      <c r="B276" t="str" cm="1">
        <f t="array" ref="B276">TranslateFromLiteral(tab\Persons[[#This Row],[Person]])</f>
        <v>57437271?18314</v>
      </c>
    </row>
    <row r="277" spans="1:2" x14ac:dyDescent="0.3">
      <c r="A277" t="s">
        <v>369</v>
      </c>
      <c r="B277" t="str" cm="1">
        <f t="array" ref="B277">TranslateFromLiteral(tab\Persons[[#This Row],[Person]])</f>
        <v>570625</v>
      </c>
    </row>
    <row r="278" spans="1:2" x14ac:dyDescent="0.3">
      <c r="A278" t="s">
        <v>493</v>
      </c>
      <c r="B278" t="str" cm="1">
        <f t="array" ref="B278">TranslateFromLiteral(tab\Persons[[#This Row],[Person]])</f>
        <v>519134?56713</v>
      </c>
    </row>
    <row r="279" spans="1:2" x14ac:dyDescent="0.3">
      <c r="A279" t="s">
        <v>342</v>
      </c>
      <c r="B279" t="str" cm="1">
        <f t="array" ref="B279">TranslateFromLiteral(tab\Persons[[#This Row],[Person]])</f>
        <v>514432?853331</v>
      </c>
    </row>
    <row r="280" spans="1:2" x14ac:dyDescent="0.3">
      <c r="A280" t="s">
        <v>396</v>
      </c>
      <c r="B280" t="str" cm="1">
        <f t="array" ref="B280">TranslateFromLiteral(tab\Persons[[#This Row],[Person]])</f>
        <v>51923?3431079</v>
      </c>
    </row>
    <row r="281" spans="1:2" x14ac:dyDescent="0.3">
      <c r="A281" t="s">
        <v>397</v>
      </c>
      <c r="B281" t="str" cm="1">
        <f t="array" ref="B281">TranslateFromLiteral(tab\Persons[[#This Row],[Person]])</f>
        <v>531230119?111120</v>
      </c>
    </row>
    <row r="282" spans="1:2" x14ac:dyDescent="0.3">
      <c r="A282" t="s">
        <v>338</v>
      </c>
      <c r="B282" t="str" cm="1">
        <f t="array" ref="B282">TranslateFromLiteral(tab\Persons[[#This Row],[Person]])</f>
        <v>5671239?6050102</v>
      </c>
    </row>
    <row r="283" spans="1:2" x14ac:dyDescent="0.3">
      <c r="A283" t="s">
        <v>224</v>
      </c>
      <c r="B283" t="str" cm="1">
        <f t="array" ref="B283">TranslateFromLiteral(tab\Persons[[#This Row],[Person]])</f>
        <v>579712?06173083143</v>
      </c>
    </row>
    <row r="284" spans="1:2" x14ac:dyDescent="0.3">
      <c r="A284" t="s">
        <v>404</v>
      </c>
      <c r="B284" t="str" cm="1">
        <f t="array" ref="B284">TranslateFromLiteral(tab\Persons[[#This Row],[Person]])</f>
        <v>57996392?43021332</v>
      </c>
    </row>
    <row r="285" spans="1:2" x14ac:dyDescent="0.3">
      <c r="A285" t="s">
        <v>337</v>
      </c>
      <c r="B285" t="str" cm="1">
        <f t="array" ref="B285">TranslateFromLiteral(tab\Persons[[#This Row],[Person]])</f>
        <v>57999?50271</v>
      </c>
    </row>
    <row r="286" spans="1:2" x14ac:dyDescent="0.3">
      <c r="A286" t="s">
        <v>257</v>
      </c>
      <c r="B286" t="str" cm="1">
        <f t="array" ref="B286">TranslateFromLiteral(tab\Persons[[#This Row],[Person]])</f>
        <v>57223105</v>
      </c>
    </row>
    <row r="287" spans="1:2" x14ac:dyDescent="0.3">
      <c r="A287" t="s">
        <v>183</v>
      </c>
      <c r="B287" t="str" cm="1">
        <f t="array" ref="B287">TranslateFromLiteral(tab\Persons[[#This Row],[Person]])</f>
        <v>5720102?76547679</v>
      </c>
    </row>
    <row r="288" spans="1:2" x14ac:dyDescent="0.3">
      <c r="A288" t="s">
        <v>380</v>
      </c>
      <c r="B288" t="str" cm="1">
        <f t="array" ref="B288">TranslateFromLiteral(tab\Persons[[#This Row],[Person]])</f>
        <v>591190915?91373990</v>
      </c>
    </row>
    <row r="289" spans="1:2" x14ac:dyDescent="0.3">
      <c r="A289" t="s">
        <v>229</v>
      </c>
      <c r="B289" t="str" cm="1">
        <f t="array" ref="B289">TranslateFromLiteral(tab\Persons[[#This Row],[Person]])</f>
        <v>50019?19932</v>
      </c>
    </row>
    <row r="290" spans="1:2" x14ac:dyDescent="0.3">
      <c r="A290" t="s">
        <v>373</v>
      </c>
      <c r="B290" t="str" cm="1">
        <f t="array" ref="B290">TranslateFromLiteral(tab\Persons[[#This Row],[Person]])</f>
        <v>50019?5001837734</v>
      </c>
    </row>
    <row r="291" spans="1:2" x14ac:dyDescent="0.3">
      <c r="A291" t="s">
        <v>218</v>
      </c>
      <c r="B291" t="str" cm="1">
        <f t="array" ref="B291">TranslateFromLiteral(tab\Persons[[#This Row],[Person]])</f>
        <v>9011</v>
      </c>
    </row>
    <row r="292" spans="1:2" x14ac:dyDescent="0.3">
      <c r="A292" t="s">
        <v>258</v>
      </c>
      <c r="B292" t="str" cm="1">
        <f t="array" ref="B292">TranslateFromLiteral(tab\Persons[[#This Row],[Person]])</f>
        <v>00440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0CBD4-1330-480F-992B-2AA0FC4AD054}">
  <sheetPr codeName="Sheet17">
    <tabColor rgb="FFFF0000"/>
  </sheetPr>
  <dimension ref="A1:B96"/>
  <sheetViews>
    <sheetView workbookViewId="0">
      <selection activeCell="A52" sqref="A52"/>
    </sheetView>
  </sheetViews>
  <sheetFormatPr defaultRowHeight="14.4" x14ac:dyDescent="0.3"/>
  <cols>
    <col min="1" max="1" width="18.44140625" style="15" customWidth="1"/>
    <col min="2" max="2" width="31.44140625" style="31" customWidth="1"/>
  </cols>
  <sheetData>
    <row r="1" spans="1:2" x14ac:dyDescent="0.3">
      <c r="A1" s="17" t="s">
        <v>115</v>
      </c>
      <c r="B1" s="3" t="s">
        <v>797</v>
      </c>
    </row>
    <row r="2" spans="1:2" x14ac:dyDescent="0.3">
      <c r="A2" s="14" t="s">
        <v>735</v>
      </c>
      <c r="B2" s="32" t="str" cm="1">
        <f t="array" ref="B2">TranslateFromLiteral(tab\Actions[[#This Row],[Action]])</f>
        <v>144123723</v>
      </c>
    </row>
    <row r="3" spans="1:2" x14ac:dyDescent="0.3">
      <c r="A3" s="14" t="s">
        <v>736</v>
      </c>
      <c r="B3" s="32" t="str" cm="1">
        <f t="array" ref="B3">TranslateFromLiteral(tab\Actions[[#This Row],[Action]])</f>
        <v>819127723</v>
      </c>
    </row>
    <row r="4" spans="1:2" x14ac:dyDescent="0.3">
      <c r="A4" s="14" t="s">
        <v>124</v>
      </c>
      <c r="B4" s="32" t="str" cm="1">
        <f t="array" ref="B4">TranslateFromLiteral(tab\Actions[[#This Row],[Action]])</f>
        <v>8321723</v>
      </c>
    </row>
    <row r="5" spans="1:2" x14ac:dyDescent="0.3">
      <c r="A5" s="14" t="s">
        <v>318</v>
      </c>
      <c r="B5" s="32" t="str" cm="1">
        <f t="array" ref="B5">TranslateFromLiteral(tab\Actions[[#This Row],[Action]])</f>
        <v>871723</v>
      </c>
    </row>
    <row r="6" spans="1:2" x14ac:dyDescent="0.3">
      <c r="A6" s="14" t="s">
        <v>737</v>
      </c>
      <c r="B6" s="32" t="str" cm="1">
        <f t="array" ref="B6">TranslateFromLiteral(tab\Actions[[#This Row],[Action]])</f>
        <v>8905723?02</v>
      </c>
    </row>
    <row r="7" spans="1:2" x14ac:dyDescent="0.3">
      <c r="A7" s="14" t="s">
        <v>531</v>
      </c>
      <c r="B7" s="32" t="str" cm="1">
        <f t="array" ref="B7">TranslateFromLiteral(tab\Actions[[#This Row],[Action]])</f>
        <v>80527723</v>
      </c>
    </row>
    <row r="8" spans="1:2" x14ac:dyDescent="0.3">
      <c r="A8" s="14" t="s">
        <v>738</v>
      </c>
      <c r="B8" s="32" t="str" cm="1">
        <f t="array" ref="B8">TranslateFromLiteral(tab\Actions[[#This Row],[Action]])</f>
        <v>805723?10</v>
      </c>
    </row>
    <row r="9" spans="1:2" x14ac:dyDescent="0.3">
      <c r="A9" s="14" t="s">
        <v>739</v>
      </c>
      <c r="B9" s="32" t="str" cm="1">
        <f t="array" ref="B9">TranslateFromLiteral(tab\Actions[[#This Row],[Action]])</f>
        <v>71449723</v>
      </c>
    </row>
    <row r="10" spans="1:2" x14ac:dyDescent="0.3">
      <c r="A10" s="14" t="s">
        <v>122</v>
      </c>
      <c r="B10" s="32" t="str" cm="1">
        <f t="array" ref="B10">TranslateFromLiteral(tab\Actions[[#This Row],[Action]])</f>
        <v>71176723</v>
      </c>
    </row>
    <row r="11" spans="1:2" x14ac:dyDescent="0.3">
      <c r="A11" s="14" t="s">
        <v>343</v>
      </c>
      <c r="B11" s="32" t="str" cm="1">
        <f t="array" ref="B11">TranslateFromLiteral(tab\Actions[[#This Row],[Action]])</f>
        <v>7635723</v>
      </c>
    </row>
    <row r="12" spans="1:2" x14ac:dyDescent="0.3">
      <c r="A12" s="14" t="s">
        <v>740</v>
      </c>
      <c r="B12" s="32" t="str" cm="1">
        <f t="array" ref="B12">TranslateFromLiteral(tab\Actions[[#This Row],[Action]])</f>
        <v>77479723</v>
      </c>
    </row>
    <row r="13" spans="1:2" x14ac:dyDescent="0.3">
      <c r="A13" s="14" t="s">
        <v>127</v>
      </c>
      <c r="B13" s="32" t="str" cm="1">
        <f t="array" ref="B13">TranslateFromLiteral(tab\Actions[[#This Row],[Action]])</f>
        <v>79728723</v>
      </c>
    </row>
    <row r="14" spans="1:2" x14ac:dyDescent="0.3">
      <c r="A14" s="14" t="s">
        <v>741</v>
      </c>
      <c r="B14" s="32" t="str" cm="1">
        <f t="array" ref="B14">TranslateFromLiteral(tab\Actions[[#This Row],[Action]])</f>
        <v>79723723?10</v>
      </c>
    </row>
    <row r="15" spans="1:2" x14ac:dyDescent="0.3">
      <c r="A15" s="14" t="s">
        <v>742</v>
      </c>
      <c r="B15" s="32" t="str" cm="1">
        <f t="array" ref="B15">TranslateFromLiteral(tab\Actions[[#This Row],[Action]])</f>
        <v>7900723</v>
      </c>
    </row>
    <row r="16" spans="1:2" x14ac:dyDescent="0.3">
      <c r="A16" s="14" t="s">
        <v>743</v>
      </c>
      <c r="B16" s="32" t="str" cm="1">
        <f t="array" ref="B16">TranslateFromLiteral(tab\Actions[[#This Row],[Action]])</f>
        <v>74119723</v>
      </c>
    </row>
    <row r="17" spans="1:2" x14ac:dyDescent="0.3">
      <c r="A17" s="14" t="s">
        <v>744</v>
      </c>
      <c r="B17" s="32" t="str" cm="1">
        <f t="array" ref="B17">TranslateFromLiteral(tab\Actions[[#This Row],[Action]])</f>
        <v>74159723?52134</v>
      </c>
    </row>
    <row r="18" spans="1:2" x14ac:dyDescent="0.3">
      <c r="A18" s="14" t="s">
        <v>745</v>
      </c>
      <c r="B18" s="32" t="str" cm="1">
        <f t="array" ref="B18">TranslateFromLiteral(tab\Actions[[#This Row],[Action]])</f>
        <v>749723?0534</v>
      </c>
    </row>
    <row r="19" spans="1:2" x14ac:dyDescent="0.3">
      <c r="A19" s="14" t="s">
        <v>746</v>
      </c>
      <c r="B19" s="32" t="str" cm="1">
        <f t="array" ref="B19">TranslateFromLiteral(tab\Actions[[#This Row],[Action]])</f>
        <v>1013723</v>
      </c>
    </row>
    <row r="20" spans="1:2" x14ac:dyDescent="0.3">
      <c r="A20" s="14" t="s">
        <v>518</v>
      </c>
      <c r="B20" s="32" t="str" cm="1">
        <f t="array" ref="B20">TranslateFromLiteral(tab\Actions[[#This Row],[Action]])</f>
        <v>14088723</v>
      </c>
    </row>
    <row r="21" spans="1:2" x14ac:dyDescent="0.3">
      <c r="A21" s="14" t="s">
        <v>747</v>
      </c>
      <c r="B21" s="32" t="str" cm="1">
        <f t="array" ref="B21">TranslateFromLiteral(tab\Actions[[#This Row],[Action]])</f>
        <v>1577723?52134</v>
      </c>
    </row>
    <row r="22" spans="1:2" x14ac:dyDescent="0.3">
      <c r="A22" s="14" t="s">
        <v>748</v>
      </c>
      <c r="B22" s="32" t="str" cm="1">
        <f t="array" ref="B22">TranslateFromLiteral(tab\Actions[[#This Row],[Action]])</f>
        <v>39805723</v>
      </c>
    </row>
    <row r="23" spans="1:2" x14ac:dyDescent="0.3">
      <c r="A23" s="14" t="s">
        <v>749</v>
      </c>
      <c r="B23" s="32" t="str" cm="1">
        <f t="array" ref="B23">TranslateFromLiteral(tab\Actions[[#This Row],[Action]])</f>
        <v>3933723?3402</v>
      </c>
    </row>
    <row r="24" spans="1:2" x14ac:dyDescent="0.3">
      <c r="A24" s="14" t="s">
        <v>750</v>
      </c>
      <c r="B24" s="32" t="str" cm="1">
        <f t="array" ref="B24">TranslateFromLiteral(tab\Actions[[#This Row],[Action]])</f>
        <v>39788723</v>
      </c>
    </row>
    <row r="25" spans="1:2" x14ac:dyDescent="0.3">
      <c r="A25" s="14" t="s">
        <v>536</v>
      </c>
      <c r="B25" s="32" t="str" cm="1">
        <f t="array" ref="B25">TranslateFromLiteral(tab\Actions[[#This Row],[Action]])</f>
        <v>3091723</v>
      </c>
    </row>
    <row r="26" spans="1:2" x14ac:dyDescent="0.3">
      <c r="A26" s="14" t="s">
        <v>751</v>
      </c>
      <c r="B26" s="32" t="str" cm="1">
        <f t="array" ref="B26">TranslateFromLiteral(tab\Actions[[#This Row],[Action]])</f>
        <v>309905723</v>
      </c>
    </row>
    <row r="27" spans="1:2" x14ac:dyDescent="0.3">
      <c r="A27" s="14" t="s">
        <v>752</v>
      </c>
      <c r="B27" s="32" t="str" cm="1">
        <f t="array" ref="B27">TranslateFromLiteral(tab\Actions[[#This Row],[Action]])</f>
        <v>34188723</v>
      </c>
    </row>
    <row r="28" spans="1:2" x14ac:dyDescent="0.3">
      <c r="A28" s="14" t="s">
        <v>753</v>
      </c>
      <c r="B28" s="32" t="str" cm="1">
        <f t="array" ref="B28">TranslateFromLiteral(tab\Actions[[#This Row],[Action]])</f>
        <v>6121723?0534</v>
      </c>
    </row>
    <row r="29" spans="1:2" x14ac:dyDescent="0.3">
      <c r="A29" s="14" t="s">
        <v>754</v>
      </c>
      <c r="B29" s="32" t="str" cm="1">
        <f t="array" ref="B29">TranslateFromLiteral(tab\Actions[[#This Row],[Action]])</f>
        <v>63118511723</v>
      </c>
    </row>
    <row r="30" spans="1:2" x14ac:dyDescent="0.3">
      <c r="A30" s="14" t="s">
        <v>755</v>
      </c>
      <c r="B30" s="32" t="str" cm="1">
        <f t="array" ref="B30">TranslateFromLiteral(tab\Actions[[#This Row],[Action]])</f>
        <v>671723?836721</v>
      </c>
    </row>
    <row r="31" spans="1:2" x14ac:dyDescent="0.3">
      <c r="A31" s="14" t="s">
        <v>756</v>
      </c>
      <c r="B31" s="32" t="str" cm="1">
        <f t="array" ref="B31">TranslateFromLiteral(tab\Actions[[#This Row],[Action]])</f>
        <v>6091723</v>
      </c>
    </row>
    <row r="32" spans="1:2" x14ac:dyDescent="0.3">
      <c r="A32" s="14" t="s">
        <v>286</v>
      </c>
      <c r="B32" s="32" t="str" cm="1">
        <f t="array" ref="B32">TranslateFromLiteral(tab\Actions[[#This Row],[Action]])</f>
        <v>6533723</v>
      </c>
    </row>
    <row r="33" spans="1:2" x14ac:dyDescent="0.3">
      <c r="A33" s="14" t="s">
        <v>757</v>
      </c>
      <c r="B33" s="32" t="str" cm="1">
        <f t="array" ref="B33">TranslateFromLiteral(tab\Actions[[#This Row],[Action]])</f>
        <v>9528723?02</v>
      </c>
    </row>
    <row r="34" spans="1:2" x14ac:dyDescent="0.3">
      <c r="A34" s="14" t="s">
        <v>520</v>
      </c>
      <c r="B34" s="32" t="str" cm="1">
        <f t="array" ref="B34">TranslateFromLiteral(tab\Actions[[#This Row],[Action]])</f>
        <v>9528723?0534</v>
      </c>
    </row>
    <row r="35" spans="1:2" x14ac:dyDescent="0.3">
      <c r="A35" s="14" t="s">
        <v>758</v>
      </c>
      <c r="B35" s="32" t="str" cm="1">
        <f t="array" ref="B35">TranslateFromLiteral(tab\Actions[[#This Row],[Action]])</f>
        <v>7777723</v>
      </c>
    </row>
    <row r="36" spans="1:2" x14ac:dyDescent="0.3">
      <c r="A36" s="14" t="s">
        <v>519</v>
      </c>
      <c r="B36" s="32" t="str" cm="1">
        <f t="array" ref="B36">TranslateFromLiteral(tab\Actions[[#This Row],[Action]])</f>
        <v>7233723</v>
      </c>
    </row>
    <row r="37" spans="1:2" x14ac:dyDescent="0.3">
      <c r="A37" s="14" t="s">
        <v>759</v>
      </c>
      <c r="B37" s="32" t="str" cm="1">
        <f t="array" ref="B37">TranslateFromLiteral(tab\Actions[[#This Row],[Action]])</f>
        <v>72339723?02</v>
      </c>
    </row>
    <row r="38" spans="1:2" x14ac:dyDescent="0.3">
      <c r="A38" s="14" t="s">
        <v>760</v>
      </c>
      <c r="B38" s="32" t="str" cm="1">
        <f t="array" ref="B38">TranslateFromLiteral(tab\Actions[[#This Row],[Action]])</f>
        <v>91536723?11</v>
      </c>
    </row>
    <row r="39" spans="1:2" x14ac:dyDescent="0.3">
      <c r="A39" s="14" t="s">
        <v>128</v>
      </c>
      <c r="B39" s="32" t="str" cm="1">
        <f t="array" ref="B39">TranslateFromLiteral(tab\Actions[[#This Row],[Action]])</f>
        <v>9777723</v>
      </c>
    </row>
    <row r="40" spans="1:2" x14ac:dyDescent="0.3">
      <c r="A40" s="14" t="s">
        <v>130</v>
      </c>
      <c r="B40" s="32" t="str" cm="1">
        <f t="array" ref="B40">TranslateFromLiteral(tab\Actions[[#This Row],[Action]])</f>
        <v>9731723</v>
      </c>
    </row>
    <row r="41" spans="1:2" x14ac:dyDescent="0.3">
      <c r="A41" s="14" t="s">
        <v>761</v>
      </c>
      <c r="B41" s="32" t="str" cm="1">
        <f t="array" ref="B41">TranslateFromLiteral(tab\Actions[[#This Row],[Action]])</f>
        <v>970132723?10</v>
      </c>
    </row>
    <row r="42" spans="1:2" x14ac:dyDescent="0.3">
      <c r="A42" s="14" t="s">
        <v>762</v>
      </c>
      <c r="B42" s="32" t="str" cm="1">
        <f t="array" ref="B42">TranslateFromLiteral(tab\Actions[[#This Row],[Action]])</f>
        <v>90534723</v>
      </c>
    </row>
    <row r="43" spans="1:2" x14ac:dyDescent="0.3">
      <c r="A43" s="14" t="s">
        <v>763</v>
      </c>
      <c r="B43" s="32" t="str" cm="1">
        <f t="array" ref="B43">TranslateFromLiteral(tab\Actions[[#This Row],[Action]])</f>
        <v>99723?02</v>
      </c>
    </row>
    <row r="44" spans="1:2" x14ac:dyDescent="0.3">
      <c r="A44" s="14" t="s">
        <v>764</v>
      </c>
      <c r="B44" s="32" t="str" cm="1">
        <f t="array" ref="B44">TranslateFromLiteral(tab\Actions[[#This Row],[Action]])</f>
        <v>0832723</v>
      </c>
    </row>
    <row r="45" spans="1:2" x14ac:dyDescent="0.3">
      <c r="A45" s="14" t="s">
        <v>765</v>
      </c>
      <c r="B45" s="32" t="str" cm="1">
        <f t="array" ref="B45">TranslateFromLiteral(tab\Actions[[#This Row],[Action]])</f>
        <v>8111723</v>
      </c>
    </row>
    <row r="46" spans="1:2" x14ac:dyDescent="0.3">
      <c r="A46" s="14" t="s">
        <v>766</v>
      </c>
      <c r="B46" s="32" t="str" cm="1">
        <f t="array" ref="B46">TranslateFromLiteral(tab\Actions[[#This Row],[Action]])</f>
        <v>8337723?0534</v>
      </c>
    </row>
    <row r="47" spans="1:2" x14ac:dyDescent="0.3">
      <c r="A47" s="14" t="s">
        <v>123</v>
      </c>
      <c r="B47" s="32" t="str" cm="1">
        <f t="array" ref="B47">TranslateFromLiteral(tab\Actions[[#This Row],[Action]])</f>
        <v>8339723</v>
      </c>
    </row>
    <row r="48" spans="1:2" x14ac:dyDescent="0.3">
      <c r="A48" s="14" t="s">
        <v>767</v>
      </c>
      <c r="B48" s="32" t="str" cm="1">
        <f t="array" ref="B48">TranslateFromLiteral(tab\Actions[[#This Row],[Action]])</f>
        <v>8777723?58</v>
      </c>
    </row>
    <row r="49" spans="1:2" x14ac:dyDescent="0.3">
      <c r="A49" s="14" t="s">
        <v>768</v>
      </c>
      <c r="B49" s="32" t="str" cm="1">
        <f t="array" ref="B49">TranslateFromLiteral(tab\Actions[[#This Row],[Action]])</f>
        <v>879723</v>
      </c>
    </row>
    <row r="50" spans="1:2" x14ac:dyDescent="0.3">
      <c r="A50" s="14" t="s">
        <v>769</v>
      </c>
      <c r="B50" s="32" t="str" cm="1">
        <f t="array" ref="B50">TranslateFromLiteral(tab\Actions[[#This Row],[Action]])</f>
        <v>87276723</v>
      </c>
    </row>
    <row r="51" spans="1:2" x14ac:dyDescent="0.3">
      <c r="A51" s="14" t="s">
        <v>770</v>
      </c>
      <c r="B51" s="32" t="str" cm="1">
        <f t="array" ref="B51">TranslateFromLiteral(tab\Actions[[#This Row],[Action]])</f>
        <v>8722723?1052</v>
      </c>
    </row>
    <row r="52" spans="1:2" x14ac:dyDescent="0.3">
      <c r="A52" s="14" t="s">
        <v>771</v>
      </c>
      <c r="B52" s="32" t="str" cm="1">
        <f t="array" ref="B52">TranslateFromLiteral(tab\Actions[[#This Row],[Action]])</f>
        <v>89577723</v>
      </c>
    </row>
    <row r="53" spans="1:2" x14ac:dyDescent="0.3">
      <c r="A53" s="14" t="s">
        <v>772</v>
      </c>
      <c r="B53" s="32" t="str" cm="1">
        <f t="array" ref="B53">TranslateFromLiteral(tab\Actions[[#This Row],[Action]])</f>
        <v>80721723?11</v>
      </c>
    </row>
    <row r="54" spans="1:2" x14ac:dyDescent="0.3">
      <c r="A54" s="14" t="s">
        <v>773</v>
      </c>
      <c r="B54" s="32" t="str" cm="1">
        <f t="array" ref="B54">TranslateFromLiteral(tab\Actions[[#This Row],[Action]])</f>
        <v>807723</v>
      </c>
    </row>
    <row r="55" spans="1:2" x14ac:dyDescent="0.3">
      <c r="A55" s="14" t="s">
        <v>774</v>
      </c>
      <c r="B55" s="32" t="str" cm="1">
        <f t="array" ref="B55">TranslateFromLiteral(tab\Actions[[#This Row],[Action]])</f>
        <v>84300723</v>
      </c>
    </row>
    <row r="56" spans="1:2" x14ac:dyDescent="0.3">
      <c r="A56" s="14" t="s">
        <v>775</v>
      </c>
      <c r="B56" s="32" t="str" cm="1">
        <f t="array" ref="B56">TranslateFromLiteral(tab\Actions[[#This Row],[Action]])</f>
        <v>8599723</v>
      </c>
    </row>
    <row r="57" spans="1:2" x14ac:dyDescent="0.3">
      <c r="A57" s="14" t="s">
        <v>439</v>
      </c>
      <c r="B57" s="32" t="str" cm="1">
        <f t="array" ref="B57">TranslateFromLiteral(tab\Actions[[#This Row],[Action]])</f>
        <v>85276723</v>
      </c>
    </row>
    <row r="58" spans="1:2" x14ac:dyDescent="0.3">
      <c r="A58" s="14" t="s">
        <v>461</v>
      </c>
      <c r="B58" s="32" t="str" cm="1">
        <f t="array" ref="B58">TranslateFromLiteral(tab\Actions[[#This Row],[Action]])</f>
        <v>8506723</v>
      </c>
    </row>
    <row r="59" spans="1:2" x14ac:dyDescent="0.3">
      <c r="A59" s="14" t="s">
        <v>776</v>
      </c>
      <c r="B59" s="32" t="str" cm="1">
        <f t="array" ref="B59">TranslateFromLiteral(tab\Actions[[#This Row],[Action]])</f>
        <v>8511723?1052</v>
      </c>
    </row>
    <row r="60" spans="1:2" x14ac:dyDescent="0.3">
      <c r="A60" s="14" t="s">
        <v>469</v>
      </c>
      <c r="B60" s="32" t="str" cm="1">
        <f t="array" ref="B60">TranslateFromLiteral(tab\Actions[[#This Row],[Action]])</f>
        <v>43176723?304</v>
      </c>
    </row>
    <row r="61" spans="1:2" x14ac:dyDescent="0.3">
      <c r="A61" s="14" t="s">
        <v>777</v>
      </c>
      <c r="B61" s="32" t="str" cm="1">
        <f t="array" ref="B61">TranslateFromLiteral(tab\Actions[[#This Row],[Action]])</f>
        <v>437375723</v>
      </c>
    </row>
    <row r="62" spans="1:2" x14ac:dyDescent="0.3">
      <c r="A62" s="14" t="s">
        <v>527</v>
      </c>
      <c r="B62" s="32" t="str" cm="1">
        <f t="array" ref="B62">TranslateFromLiteral(tab\Actions[[#This Row],[Action]])</f>
        <v>4099723</v>
      </c>
    </row>
    <row r="63" spans="1:2" x14ac:dyDescent="0.3">
      <c r="A63" s="14" t="s">
        <v>285</v>
      </c>
      <c r="B63" s="32" t="str" cm="1">
        <f t="array" ref="B63">TranslateFromLiteral(tab\Actions[[#This Row],[Action]])</f>
        <v>4588723</v>
      </c>
    </row>
    <row r="64" spans="1:2" x14ac:dyDescent="0.3">
      <c r="A64" s="14" t="s">
        <v>778</v>
      </c>
      <c r="B64" s="32" t="str" cm="1">
        <f t="array" ref="B64">TranslateFromLiteral(tab\Actions[[#This Row],[Action]])</f>
        <v>01951723</v>
      </c>
    </row>
    <row r="65" spans="1:2" x14ac:dyDescent="0.3">
      <c r="A65" s="14" t="s">
        <v>325</v>
      </c>
      <c r="B65" s="32" t="str" cm="1">
        <f t="array" ref="B65">TranslateFromLiteral(tab\Actions[[#This Row],[Action]])</f>
        <v>0741176723</v>
      </c>
    </row>
    <row r="66" spans="1:2" x14ac:dyDescent="0.3">
      <c r="A66" s="14" t="s">
        <v>779</v>
      </c>
      <c r="B66" s="32" t="str" cm="1">
        <f t="array" ref="B66">TranslateFromLiteral(tab\Actions[[#This Row],[Action]])</f>
        <v>0617723</v>
      </c>
    </row>
    <row r="67" spans="1:2" x14ac:dyDescent="0.3">
      <c r="A67" s="14" t="s">
        <v>780</v>
      </c>
      <c r="B67" s="32" t="str" cm="1">
        <f t="array" ref="B67">TranslateFromLiteral(tab\Actions[[#This Row],[Action]])</f>
        <v>06051723?11</v>
      </c>
    </row>
    <row r="68" spans="1:2" x14ac:dyDescent="0.3">
      <c r="A68" s="14" t="s">
        <v>781</v>
      </c>
      <c r="B68" s="32" t="str" cm="1">
        <f t="array" ref="B68">TranslateFromLiteral(tab\Actions[[#This Row],[Action]])</f>
        <v>0711723?02</v>
      </c>
    </row>
    <row r="69" spans="1:2" x14ac:dyDescent="0.3">
      <c r="A69" s="14" t="s">
        <v>516</v>
      </c>
      <c r="B69" s="32" t="str" cm="1">
        <f t="array" ref="B69">TranslateFromLiteral(tab\Actions[[#This Row],[Action]])</f>
        <v>09188723</v>
      </c>
    </row>
    <row r="70" spans="1:2" x14ac:dyDescent="0.3">
      <c r="A70" s="14" t="s">
        <v>134</v>
      </c>
      <c r="B70" s="32" t="str" cm="1">
        <f t="array" ref="B70">TranslateFromLiteral(tab\Actions[[#This Row],[Action]])</f>
        <v>0971723</v>
      </c>
    </row>
    <row r="71" spans="1:2" x14ac:dyDescent="0.3">
      <c r="A71" s="14" t="s">
        <v>326</v>
      </c>
      <c r="B71" s="32" t="str" cm="1">
        <f t="array" ref="B71">TranslateFromLiteral(tab\Actions[[#This Row],[Action]])</f>
        <v>02733723</v>
      </c>
    </row>
    <row r="72" spans="1:2" x14ac:dyDescent="0.3">
      <c r="A72" s="14" t="s">
        <v>782</v>
      </c>
      <c r="B72" s="32" t="str" cm="1">
        <f t="array" ref="B72">TranslateFromLiteral(tab\Actions[[#This Row],[Action]])</f>
        <v>08711723?02</v>
      </c>
    </row>
    <row r="73" spans="1:2" x14ac:dyDescent="0.3">
      <c r="A73" s="14" t="s">
        <v>783</v>
      </c>
      <c r="B73" s="32" t="str" cm="1">
        <f t="array" ref="B73">TranslateFromLiteral(tab\Actions[[#This Row],[Action]])</f>
        <v>089711723</v>
      </c>
    </row>
    <row r="74" spans="1:2" x14ac:dyDescent="0.3">
      <c r="A74" s="14" t="s">
        <v>119</v>
      </c>
      <c r="B74" s="32" t="str" cm="1">
        <f t="array" ref="B74">TranslateFromLiteral(tab\Actions[[#This Row],[Action]])</f>
        <v>045106723</v>
      </c>
    </row>
    <row r="75" spans="1:2" x14ac:dyDescent="0.3">
      <c r="A75" s="14" t="s">
        <v>784</v>
      </c>
      <c r="B75" s="32" t="str" cm="1">
        <f t="array" ref="B75">TranslateFromLiteral(tab\Actions[[#This Row],[Action]])</f>
        <v>01177723</v>
      </c>
    </row>
    <row r="76" spans="1:2" x14ac:dyDescent="0.3">
      <c r="A76" s="14" t="s">
        <v>785</v>
      </c>
      <c r="B76" s="32" t="str" cm="1">
        <f t="array" ref="B76">TranslateFromLiteral(tab\Actions[[#This Row],[Action]])</f>
        <v>01388723?02</v>
      </c>
    </row>
    <row r="77" spans="1:2" x14ac:dyDescent="0.3">
      <c r="A77" s="14" t="s">
        <v>436</v>
      </c>
      <c r="B77" s="32" t="str" cm="1">
        <f t="array" ref="B77">TranslateFromLiteral(tab\Actions[[#This Row],[Action]])</f>
        <v>01028723</v>
      </c>
    </row>
    <row r="78" spans="1:2" x14ac:dyDescent="0.3">
      <c r="A78" s="14" t="s">
        <v>786</v>
      </c>
      <c r="B78" s="32" t="str" cm="1">
        <f t="array" ref="B78">TranslateFromLiteral(tab\Actions[[#This Row],[Action]])</f>
        <v>0143176723</v>
      </c>
    </row>
    <row r="79" spans="1:2" x14ac:dyDescent="0.3">
      <c r="A79" s="14" t="s">
        <v>787</v>
      </c>
      <c r="B79" s="32" t="str" cm="1">
        <f t="array" ref="B79">TranslateFromLiteral(tab\Actions[[#This Row],[Action]])</f>
        <v>01407723</v>
      </c>
    </row>
    <row r="80" spans="1:2" x14ac:dyDescent="0.3">
      <c r="A80" s="14" t="s">
        <v>173</v>
      </c>
      <c r="B80" s="32" t="str" cm="1">
        <f t="array" ref="B80">TranslateFromLiteral(tab\Actions[[#This Row],[Action]])</f>
        <v>0577723</v>
      </c>
    </row>
    <row r="81" spans="1:2" x14ac:dyDescent="0.3">
      <c r="A81" s="14" t="s">
        <v>788</v>
      </c>
      <c r="B81" s="32" t="str" cm="1">
        <f t="array" ref="B81">TranslateFromLiteral(tab\Actions[[#This Row],[Action]])</f>
        <v>0519905723</v>
      </c>
    </row>
    <row r="82" spans="1:2" x14ac:dyDescent="0.3">
      <c r="A82" s="14" t="s">
        <v>116</v>
      </c>
      <c r="B82" s="32" t="str" cm="1">
        <f t="array" ref="B82">TranslateFromLiteral(tab\Actions[[#This Row],[Action]])</f>
        <v>05723723</v>
      </c>
    </row>
    <row r="83" spans="1:2" x14ac:dyDescent="0.3">
      <c r="A83" s="14" t="s">
        <v>448</v>
      </c>
      <c r="B83" s="32" t="str" cm="1">
        <f t="array" ref="B83">TranslateFromLiteral(tab\Actions[[#This Row],[Action]])</f>
        <v>1188723</v>
      </c>
    </row>
    <row r="84" spans="1:2" x14ac:dyDescent="0.3">
      <c r="A84" s="14" t="s">
        <v>121</v>
      </c>
      <c r="B84" s="32" t="str" cm="1">
        <f t="array" ref="B84">TranslateFromLiteral(tab\Actions[[#This Row],[Action]])</f>
        <v>1314723</v>
      </c>
    </row>
    <row r="85" spans="1:2" x14ac:dyDescent="0.3">
      <c r="A85" s="14" t="s">
        <v>129</v>
      </c>
      <c r="B85" s="32" t="str" cm="1">
        <f t="array" ref="B85">TranslateFromLiteral(tab\Actions[[#This Row],[Action]])</f>
        <v>16405723</v>
      </c>
    </row>
    <row r="86" spans="1:2" x14ac:dyDescent="0.3">
      <c r="A86" s="14" t="s">
        <v>789</v>
      </c>
      <c r="B86" s="32" t="str" cm="1">
        <f t="array" ref="B86">TranslateFromLiteral(tab\Actions[[#This Row],[Action]])</f>
        <v>17779723</v>
      </c>
    </row>
    <row r="87" spans="1:2" x14ac:dyDescent="0.3">
      <c r="A87" s="14" t="s">
        <v>790</v>
      </c>
      <c r="B87" s="32" t="str" cm="1">
        <f t="array" ref="B87">TranslateFromLiteral(tab\Actions[[#This Row],[Action]])</f>
        <v>1791723</v>
      </c>
    </row>
    <row r="88" spans="1:2" x14ac:dyDescent="0.3">
      <c r="A88" s="14" t="s">
        <v>791</v>
      </c>
      <c r="B88" s="32" t="str" cm="1">
        <f t="array" ref="B88">TranslateFromLiteral(tab\Actions[[#This Row],[Action]])</f>
        <v>1788723</v>
      </c>
    </row>
    <row r="89" spans="1:2" x14ac:dyDescent="0.3">
      <c r="A89" s="14" t="s">
        <v>323</v>
      </c>
      <c r="B89" s="32" t="str" cm="1">
        <f t="array" ref="B89">TranslateFromLiteral(tab\Actions[[#This Row],[Action]])</f>
        <v>1000723</v>
      </c>
    </row>
    <row r="90" spans="1:2" x14ac:dyDescent="0.3">
      <c r="A90" s="14" t="s">
        <v>792</v>
      </c>
      <c r="B90" s="32" t="str" cm="1">
        <f t="array" ref="B90">TranslateFromLiteral(tab\Actions[[#This Row],[Action]])</f>
        <v>1542723?0534</v>
      </c>
    </row>
    <row r="91" spans="1:2" x14ac:dyDescent="0.3">
      <c r="A91" s="14" t="s">
        <v>456</v>
      </c>
      <c r="B91" s="32" t="str" cm="1">
        <f t="array" ref="B91">TranslateFromLiteral(tab\Actions[[#This Row],[Action]])</f>
        <v>15701723</v>
      </c>
    </row>
    <row r="92" spans="1:2" x14ac:dyDescent="0.3">
      <c r="A92" s="14" t="s">
        <v>793</v>
      </c>
      <c r="B92" s="32" t="str" cm="1">
        <f t="array" ref="B92">TranslateFromLiteral(tab\Actions[[#This Row],[Action]])</f>
        <v>523091723</v>
      </c>
    </row>
    <row r="93" spans="1:2" x14ac:dyDescent="0.3">
      <c r="A93" s="14" t="s">
        <v>794</v>
      </c>
      <c r="B93" s="32" t="str" cm="1">
        <f t="array" ref="B93">TranslateFromLiteral(tab\Actions[[#This Row],[Action]])</f>
        <v>5197723?140521</v>
      </c>
    </row>
    <row r="94" spans="1:2" x14ac:dyDescent="0.3">
      <c r="A94" s="14" t="s">
        <v>132</v>
      </c>
      <c r="B94" s="32" t="str" cm="1">
        <f t="array" ref="B94">TranslateFromLiteral(tab\Actions[[#This Row],[Action]])</f>
        <v>515723</v>
      </c>
    </row>
    <row r="95" spans="1:2" x14ac:dyDescent="0.3">
      <c r="A95" s="14" t="s">
        <v>795</v>
      </c>
      <c r="B95" s="32" t="str" cm="1">
        <f t="array" ref="B95">TranslateFromLiteral(tab\Actions[[#This Row],[Action]])</f>
        <v>5670834723?10</v>
      </c>
    </row>
    <row r="96" spans="1:2" x14ac:dyDescent="0.3">
      <c r="A96" s="14" t="s">
        <v>796</v>
      </c>
      <c r="B96" s="32" t="str" cm="1">
        <f t="array" ref="B96">TranslateFromLiteral(tab\Actions[[#This Row],[Action]])</f>
        <v>50406788723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3961F-3F62-4EC5-926C-999AAE85728D}">
  <sheetPr codeName="Sheet6">
    <tabColor rgb="FFFF0000"/>
  </sheetPr>
  <dimension ref="A1:B205"/>
  <sheetViews>
    <sheetView workbookViewId="0">
      <selection activeCell="B4" sqref="B4"/>
    </sheetView>
  </sheetViews>
  <sheetFormatPr defaultRowHeight="14.4" x14ac:dyDescent="0.3"/>
  <cols>
    <col min="1" max="1" width="21.109375" customWidth="1"/>
    <col min="2" max="2" width="21.6640625" customWidth="1"/>
  </cols>
  <sheetData>
    <row r="1" spans="1:2" x14ac:dyDescent="0.3">
      <c r="A1" s="1" t="s">
        <v>80</v>
      </c>
      <c r="B1" s="1" t="s">
        <v>797</v>
      </c>
    </row>
    <row r="2" spans="1:2" x14ac:dyDescent="0.3">
      <c r="A2" s="2" t="s">
        <v>55</v>
      </c>
      <c r="B2" s="2" t="str" cm="1">
        <f t="array" ref="B2">TranslateFromLiteral(tab\Objects[[#This Row],[Object]])</f>
        <v>19142?79077</v>
      </c>
    </row>
    <row r="3" spans="1:2" x14ac:dyDescent="0.3">
      <c r="A3" s="2" t="s">
        <v>41</v>
      </c>
      <c r="B3" s="2" t="str" cm="1">
        <f t="array" ref="B3">TranslateFromLiteral(tab\Objects[[#This Row],[Object]])</f>
        <v>163</v>
      </c>
    </row>
    <row r="4" spans="1:2" x14ac:dyDescent="0.3">
      <c r="A4" s="2" t="s">
        <v>85</v>
      </c>
      <c r="B4" s="2" t="str" cm="1">
        <f t="array" ref="B4">TranslateFromLiteral(tab\Objects[[#This Row],[Object]])</f>
        <v>8189</v>
      </c>
    </row>
    <row r="5" spans="1:2" x14ac:dyDescent="0.3">
      <c r="A5" s="2" t="s">
        <v>636</v>
      </c>
      <c r="B5" s="2" t="str" cm="1">
        <f t="array" ref="B5">TranslateFromLiteral(tab\Objects[[#This Row],[Object]])</f>
        <v>8189?15229</v>
      </c>
    </row>
    <row r="6" spans="1:2" x14ac:dyDescent="0.3">
      <c r="A6" s="2" t="s">
        <v>637</v>
      </c>
      <c r="B6" s="2" t="str" cm="1">
        <f t="array" ref="B6">TranslateFromLiteral(tab\Objects[[#This Row],[Object]])</f>
        <v>8190020</v>
      </c>
    </row>
    <row r="7" spans="1:2" x14ac:dyDescent="0.3">
      <c r="A7" s="2" t="s">
        <v>509</v>
      </c>
      <c r="B7" s="2" t="str" cm="1">
        <f t="array" ref="B7">TranslateFromLiteral(tab\Objects[[#This Row],[Object]])</f>
        <v>8121133</v>
      </c>
    </row>
    <row r="8" spans="1:2" x14ac:dyDescent="0.3">
      <c r="A8" s="2" t="s">
        <v>638</v>
      </c>
      <c r="B8" s="2" t="str" cm="1">
        <f t="array" ref="B8">TranslateFromLiteral(tab\Objects[[#This Row],[Object]])</f>
        <v>812234</v>
      </c>
    </row>
    <row r="9" spans="1:2" x14ac:dyDescent="0.3">
      <c r="A9" s="2" t="s">
        <v>639</v>
      </c>
      <c r="B9" s="2" t="str" cm="1">
        <f t="array" ref="B9">TranslateFromLiteral(tab\Objects[[#This Row],[Object]])</f>
        <v>814439</v>
      </c>
    </row>
    <row r="10" spans="1:2" x14ac:dyDescent="0.3">
      <c r="A10" s="2" t="s">
        <v>640</v>
      </c>
      <c r="B10" s="2" t="str" cm="1">
        <f t="array" ref="B10">TranslateFromLiteral(tab\Objects[[#This Row],[Object]])</f>
        <v>811</v>
      </c>
    </row>
    <row r="11" spans="1:2" x14ac:dyDescent="0.3">
      <c r="A11" s="2" t="s">
        <v>641</v>
      </c>
      <c r="B11" s="2" t="str" cm="1">
        <f t="array" ref="B11">TranslateFromLiteral(tab\Objects[[#This Row],[Object]])</f>
        <v>833</v>
      </c>
    </row>
    <row r="12" spans="1:2" x14ac:dyDescent="0.3">
      <c r="A12" s="2" t="s">
        <v>642</v>
      </c>
      <c r="B12" s="2" t="str" cm="1">
        <f t="array" ref="B12">TranslateFromLiteral(tab\Objects[[#This Row],[Object]])</f>
        <v>833193?714</v>
      </c>
    </row>
    <row r="13" spans="1:2" x14ac:dyDescent="0.3">
      <c r="A13" s="2" t="s">
        <v>88</v>
      </c>
      <c r="B13" s="2" t="str" cm="1">
        <f t="array" ref="B13">TranslateFromLiteral(tab\Objects[[#This Row],[Object]])</f>
        <v>8399</v>
      </c>
    </row>
    <row r="14" spans="1:2" x14ac:dyDescent="0.3">
      <c r="A14" s="2" t="s">
        <v>643</v>
      </c>
      <c r="B14" s="2" t="str" cm="1">
        <f t="array" ref="B14">TranslateFromLiteral(tab\Objects[[#This Row],[Object]])</f>
        <v>87734?5716?639231</v>
      </c>
    </row>
    <row r="15" spans="1:2" x14ac:dyDescent="0.3">
      <c r="A15" s="2" t="s">
        <v>605</v>
      </c>
      <c r="B15" s="2" t="str" cm="1">
        <f t="array" ref="B15">TranslateFromLiteral(tab\Objects[[#This Row],[Object]])</f>
        <v>8720759140</v>
      </c>
    </row>
    <row r="16" spans="1:2" x14ac:dyDescent="0.3">
      <c r="A16" s="2" t="s">
        <v>644</v>
      </c>
      <c r="B16" s="2" t="str" cm="1">
        <f t="array" ref="B16">TranslateFromLiteral(tab\Objects[[#This Row],[Object]])</f>
        <v>8917702716?12579</v>
      </c>
    </row>
    <row r="17" spans="1:2" x14ac:dyDescent="0.3">
      <c r="A17" s="2" t="s">
        <v>284</v>
      </c>
      <c r="B17" s="2" t="str" cm="1">
        <f t="array" ref="B17">TranslateFromLiteral(tab\Objects[[#This Row],[Object]])</f>
        <v>8028</v>
      </c>
    </row>
    <row r="18" spans="1:2" x14ac:dyDescent="0.3">
      <c r="A18" s="2" t="s">
        <v>602</v>
      </c>
      <c r="B18" s="2" t="str" cm="1">
        <f t="array" ref="B18">TranslateFromLiteral(tab\Objects[[#This Row],[Object]])</f>
        <v>80230?14520</v>
      </c>
    </row>
    <row r="19" spans="1:2" x14ac:dyDescent="0.3">
      <c r="A19" s="2" t="s">
        <v>290</v>
      </c>
      <c r="B19" s="2" t="str" cm="1">
        <f t="array" ref="B19">TranslateFromLiteral(tab\Objects[[#This Row],[Object]])</f>
        <v>8007</v>
      </c>
    </row>
    <row r="20" spans="1:2" x14ac:dyDescent="0.3">
      <c r="A20" s="2" t="s">
        <v>616</v>
      </c>
      <c r="B20" s="2" t="str" cm="1">
        <f t="array" ref="B20">TranslateFromLiteral(tab\Objects[[#This Row],[Object]])</f>
        <v>805</v>
      </c>
    </row>
    <row r="21" spans="1:2" x14ac:dyDescent="0.3">
      <c r="A21" s="2" t="s">
        <v>645</v>
      </c>
      <c r="B21" s="2" t="str" cm="1">
        <f t="array" ref="B21">TranslateFromLiteral(tab\Objects[[#This Row],[Object]])</f>
        <v>80634?0?39053</v>
      </c>
    </row>
    <row r="22" spans="1:2" x14ac:dyDescent="0.3">
      <c r="A22" s="2" t="s">
        <v>57</v>
      </c>
      <c r="B22" s="2" t="str" cm="1">
        <f t="array" ref="B22">TranslateFromLiteral(tab\Objects[[#This Row],[Object]])</f>
        <v>841</v>
      </c>
    </row>
    <row r="23" spans="1:2" x14ac:dyDescent="0.3">
      <c r="A23" s="2" t="s">
        <v>91</v>
      </c>
      <c r="B23" s="2" t="str" cm="1">
        <f t="array" ref="B23">TranslateFromLiteral(tab\Objects[[#This Row],[Object]])</f>
        <v>8431010</v>
      </c>
    </row>
    <row r="24" spans="1:2" x14ac:dyDescent="0.3">
      <c r="A24" s="2" t="s">
        <v>646</v>
      </c>
      <c r="B24" s="2" t="str" cm="1">
        <f t="array" ref="B24">TranslateFromLiteral(tab\Objects[[#This Row],[Object]])</f>
        <v>84002</v>
      </c>
    </row>
    <row r="25" spans="1:2" x14ac:dyDescent="0.3">
      <c r="A25" s="2" t="s">
        <v>620</v>
      </c>
      <c r="B25" s="2" t="str" cm="1">
        <f t="array" ref="B25">TranslateFromLiteral(tab\Objects[[#This Row],[Object]])</f>
        <v>8599</v>
      </c>
    </row>
    <row r="26" spans="1:2" x14ac:dyDescent="0.3">
      <c r="A26" s="2" t="s">
        <v>647</v>
      </c>
      <c r="B26" s="2" t="str" cm="1">
        <f t="array" ref="B26">TranslateFromLiteral(tab\Objects[[#This Row],[Object]])</f>
        <v>850</v>
      </c>
    </row>
    <row r="27" spans="1:2" x14ac:dyDescent="0.3">
      <c r="A27" s="2" t="s">
        <v>82</v>
      </c>
      <c r="B27" s="2" t="str" cm="1">
        <f t="array" ref="B27">TranslateFromLiteral(tab\Objects[[#This Row],[Object]])</f>
        <v>851134399</v>
      </c>
    </row>
    <row r="28" spans="1:2" x14ac:dyDescent="0.3">
      <c r="A28" s="2" t="s">
        <v>648</v>
      </c>
      <c r="B28" s="2" t="str" cm="1">
        <f t="array" ref="B28">TranslateFromLiteral(tab\Objects[[#This Row],[Object]])</f>
        <v>71239</v>
      </c>
    </row>
    <row r="29" spans="1:2" x14ac:dyDescent="0.3">
      <c r="A29" s="2" t="s">
        <v>649</v>
      </c>
      <c r="B29" s="2" t="str" cm="1">
        <f t="array" ref="B29">TranslateFromLiteral(tab\Objects[[#This Row],[Object]])</f>
        <v>712202</v>
      </c>
    </row>
    <row r="30" spans="1:2" x14ac:dyDescent="0.3">
      <c r="A30" s="2" t="s">
        <v>111</v>
      </c>
      <c r="B30" s="2" t="str" cm="1">
        <f t="array" ref="B30">TranslateFromLiteral(tab\Objects[[#This Row],[Object]])</f>
        <v>714</v>
      </c>
    </row>
    <row r="31" spans="1:2" x14ac:dyDescent="0.3">
      <c r="A31" s="2" t="s">
        <v>110</v>
      </c>
      <c r="B31" s="2" t="str" cm="1">
        <f t="array" ref="B31">TranslateFromLiteral(tab\Objects[[#This Row],[Object]])</f>
        <v>7141</v>
      </c>
    </row>
    <row r="32" spans="1:2" x14ac:dyDescent="0.3">
      <c r="A32" s="2" t="s">
        <v>317</v>
      </c>
      <c r="B32" s="2" t="str" cm="1">
        <f t="array" ref="B32">TranslateFromLiteral(tab\Objects[[#This Row],[Object]])</f>
        <v>711</v>
      </c>
    </row>
    <row r="33" spans="1:2" x14ac:dyDescent="0.3">
      <c r="A33" s="2" t="s">
        <v>601</v>
      </c>
      <c r="B33" s="2" t="str" cm="1">
        <f t="array" ref="B33">TranslateFromLiteral(tab\Objects[[#This Row],[Object]])</f>
        <v>7110571</v>
      </c>
    </row>
    <row r="34" spans="1:2" x14ac:dyDescent="0.3">
      <c r="A34" s="2" t="s">
        <v>612</v>
      </c>
      <c r="B34" s="2" t="str" cm="1">
        <f t="array" ref="B34">TranslateFromLiteral(tab\Objects[[#This Row],[Object]])</f>
        <v>7633?72733</v>
      </c>
    </row>
    <row r="35" spans="1:2" x14ac:dyDescent="0.3">
      <c r="A35" s="2" t="s">
        <v>650</v>
      </c>
      <c r="B35" s="2" t="str" cm="1">
        <f t="array" ref="B35">TranslateFromLiteral(tab\Objects[[#This Row],[Object]])</f>
        <v>767651651</v>
      </c>
    </row>
    <row r="36" spans="1:2" x14ac:dyDescent="0.3">
      <c r="A36" s="2" t="s">
        <v>651</v>
      </c>
      <c r="B36" s="2" t="str" cm="1">
        <f t="array" ref="B36">TranslateFromLiteral(tab\Objects[[#This Row],[Object]])</f>
        <v>76088723?80141</v>
      </c>
    </row>
    <row r="37" spans="1:2" x14ac:dyDescent="0.3">
      <c r="A37" s="2" t="s">
        <v>42</v>
      </c>
      <c r="B37" s="2" t="str" cm="1">
        <f t="array" ref="B37">TranslateFromLiteral(tab\Objects[[#This Row],[Object]])</f>
        <v>7011?612334</v>
      </c>
    </row>
    <row r="38" spans="1:2" x14ac:dyDescent="0.3">
      <c r="A38" s="2" t="s">
        <v>652</v>
      </c>
      <c r="B38" s="2" t="str" cm="1">
        <f t="array" ref="B38">TranslateFromLiteral(tab\Objects[[#This Row],[Object]])</f>
        <v>7028</v>
      </c>
    </row>
    <row r="39" spans="1:2" x14ac:dyDescent="0.3">
      <c r="A39" s="2" t="s">
        <v>653</v>
      </c>
      <c r="B39" s="2" t="str" cm="1">
        <f t="array" ref="B39">TranslateFromLiteral(tab\Objects[[#This Row],[Object]])</f>
        <v>70274313?27634?14577</v>
      </c>
    </row>
    <row r="40" spans="1:2" x14ac:dyDescent="0.3">
      <c r="A40" s="2" t="s">
        <v>654</v>
      </c>
      <c r="B40" s="2" t="str" cm="1">
        <f t="array" ref="B40">TranslateFromLiteral(tab\Objects[[#This Row],[Object]])</f>
        <v>74123?6007</v>
      </c>
    </row>
    <row r="41" spans="1:2" x14ac:dyDescent="0.3">
      <c r="A41" s="2" t="s">
        <v>655</v>
      </c>
      <c r="B41" s="2" t="str" cm="1">
        <f t="array" ref="B41">TranslateFromLiteral(tab\Objects[[#This Row],[Object]])</f>
        <v>740701793</v>
      </c>
    </row>
    <row r="42" spans="1:2" x14ac:dyDescent="0.3">
      <c r="A42" s="2" t="s">
        <v>656</v>
      </c>
      <c r="B42" s="2" t="str" cm="1">
        <f t="array" ref="B42">TranslateFromLiteral(tab\Objects[[#This Row],[Object]])</f>
        <v>757700</v>
      </c>
    </row>
    <row r="43" spans="1:2" x14ac:dyDescent="0.3">
      <c r="A43" s="2" t="s">
        <v>657</v>
      </c>
      <c r="B43" s="2" t="str" cm="1">
        <f t="array" ref="B43">TranslateFromLiteral(tab\Objects[[#This Row],[Object]])</f>
        <v>7533</v>
      </c>
    </row>
    <row r="44" spans="1:2" x14ac:dyDescent="0.3">
      <c r="A44" s="2" t="s">
        <v>108</v>
      </c>
      <c r="B44" s="2" t="str" cm="1">
        <f t="array" ref="B44">TranslateFromLiteral(tab\Objects[[#This Row],[Object]])</f>
        <v>11330179</v>
      </c>
    </row>
    <row r="45" spans="1:2" x14ac:dyDescent="0.3">
      <c r="A45" s="2" t="s">
        <v>271</v>
      </c>
      <c r="B45" s="2" t="str" cm="1">
        <f t="array" ref="B45">TranslateFromLiteral(tab\Objects[[#This Row],[Object]])</f>
        <v>1141</v>
      </c>
    </row>
    <row r="46" spans="1:2" x14ac:dyDescent="0.3">
      <c r="A46" s="2" t="s">
        <v>632</v>
      </c>
      <c r="B46" s="2" t="str" cm="1">
        <f t="array" ref="B46">TranslateFromLiteral(tab\Objects[[#This Row],[Object]])</f>
        <v>17018931?76174</v>
      </c>
    </row>
    <row r="47" spans="1:2" x14ac:dyDescent="0.3">
      <c r="A47" s="2" t="s">
        <v>105</v>
      </c>
      <c r="B47" s="2" t="str" cm="1">
        <f t="array" ref="B47">TranslateFromLiteral(tab\Objects[[#This Row],[Object]])</f>
        <v>1707</v>
      </c>
    </row>
    <row r="48" spans="1:2" x14ac:dyDescent="0.3">
      <c r="A48" s="2" t="s">
        <v>658</v>
      </c>
      <c r="B48" s="2" t="str" cm="1">
        <f t="array" ref="B48">TranslateFromLiteral(tab\Objects[[#This Row],[Object]])</f>
        <v>1010?</v>
      </c>
    </row>
    <row r="49" spans="1:2" x14ac:dyDescent="0.3">
      <c r="A49" s="2" t="s">
        <v>106</v>
      </c>
      <c r="B49" s="2" t="str" cm="1">
        <f t="array" ref="B49">TranslateFromLiteral(tab\Objects[[#This Row],[Object]])</f>
        <v>1099</v>
      </c>
    </row>
    <row r="50" spans="1:2" x14ac:dyDescent="0.3">
      <c r="A50" s="2" t="s">
        <v>659</v>
      </c>
      <c r="B50" s="2" t="str" cm="1">
        <f t="array" ref="B50">TranslateFromLiteral(tab\Objects[[#This Row],[Object]])</f>
        <v>109914?0732</v>
      </c>
    </row>
    <row r="51" spans="1:2" x14ac:dyDescent="0.3">
      <c r="A51" s="2" t="s">
        <v>660</v>
      </c>
      <c r="B51" s="2" t="str" cm="1">
        <f t="array" ref="B51">TranslateFromLiteral(tab\Objects[[#This Row],[Object]])</f>
        <v>1023</v>
      </c>
    </row>
    <row r="52" spans="1:2" x14ac:dyDescent="0.3">
      <c r="A52" s="2" t="s">
        <v>287</v>
      </c>
      <c r="B52" s="2" t="str" cm="1">
        <f t="array" ref="B52">TranslateFromLiteral(tab\Objects[[#This Row],[Object]])</f>
        <v>10251</v>
      </c>
    </row>
    <row r="53" spans="1:2" x14ac:dyDescent="0.3">
      <c r="A53" s="2" t="s">
        <v>661</v>
      </c>
      <c r="B53" s="2" t="str" cm="1">
        <f t="array" ref="B53">TranslateFromLiteral(tab\Objects[[#This Row],[Object]])</f>
        <v>1452</v>
      </c>
    </row>
    <row r="54" spans="1:2" x14ac:dyDescent="0.3">
      <c r="A54" s="2" t="s">
        <v>662</v>
      </c>
      <c r="B54" s="2" t="str" cm="1">
        <f t="array" ref="B54">TranslateFromLiteral(tab\Objects[[#This Row],[Object]])</f>
        <v>1452?017770</v>
      </c>
    </row>
    <row r="55" spans="1:2" x14ac:dyDescent="0.3">
      <c r="A55" s="2" t="s">
        <v>107</v>
      </c>
      <c r="B55" s="2" t="str" cm="1">
        <f t="array" ref="B55">TranslateFromLiteral(tab\Objects[[#This Row],[Object]])</f>
        <v>1577</v>
      </c>
    </row>
    <row r="56" spans="1:2" x14ac:dyDescent="0.3">
      <c r="A56" s="2" t="s">
        <v>109</v>
      </c>
      <c r="B56" s="2" t="str" cm="1">
        <f t="array" ref="B56">TranslateFromLiteral(tab\Objects[[#This Row],[Object]])</f>
        <v>15288399</v>
      </c>
    </row>
    <row r="57" spans="1:2" x14ac:dyDescent="0.3">
      <c r="A57" s="2" t="s">
        <v>38</v>
      </c>
      <c r="B57" s="2" t="str" cm="1">
        <f t="array" ref="B57">TranslateFromLiteral(tab\Objects[[#This Row],[Object]])</f>
        <v>333</v>
      </c>
    </row>
    <row r="58" spans="1:2" x14ac:dyDescent="0.3">
      <c r="A58" s="2" t="s">
        <v>663</v>
      </c>
      <c r="B58" s="2" t="str" cm="1">
        <f t="array" ref="B58">TranslateFromLiteral(tab\Objects[[#This Row],[Object]])</f>
        <v>39386121</v>
      </c>
    </row>
    <row r="59" spans="1:2" x14ac:dyDescent="0.3">
      <c r="A59" s="2" t="s">
        <v>664</v>
      </c>
      <c r="B59" s="2" t="str" cm="1">
        <f t="array" ref="B59">TranslateFromLiteral(tab\Objects[[#This Row],[Object]])</f>
        <v>36347703?8773</v>
      </c>
    </row>
    <row r="60" spans="1:2" x14ac:dyDescent="0.3">
      <c r="A60" s="2" t="s">
        <v>665</v>
      </c>
      <c r="B60" s="2" t="str" cm="1">
        <f t="array" ref="B60">TranslateFromLiteral(tab\Objects[[#This Row],[Object]])</f>
        <v>312</v>
      </c>
    </row>
    <row r="61" spans="1:2" x14ac:dyDescent="0.3">
      <c r="A61" s="2" t="s">
        <v>666</v>
      </c>
      <c r="B61" s="2" t="str" cm="1">
        <f t="array" ref="B61">TranslateFromLiteral(tab\Objects[[#This Row],[Object]])</f>
        <v>331041?611</v>
      </c>
    </row>
    <row r="62" spans="1:2" x14ac:dyDescent="0.3">
      <c r="A62" s="2" t="s">
        <v>84</v>
      </c>
      <c r="B62" s="2" t="str" cm="1">
        <f t="array" ref="B62">TranslateFromLiteral(tab\Objects[[#This Row],[Object]])</f>
        <v>378802177?034730</v>
      </c>
    </row>
    <row r="63" spans="1:2" x14ac:dyDescent="0.3">
      <c r="A63" s="2" t="s">
        <v>113</v>
      </c>
      <c r="B63" s="2" t="str" cm="1">
        <f t="array" ref="B63">TranslateFromLiteral(tab\Objects[[#This Row],[Object]])</f>
        <v>3743</v>
      </c>
    </row>
    <row r="64" spans="1:2" x14ac:dyDescent="0.3">
      <c r="A64" s="2" t="s">
        <v>667</v>
      </c>
      <c r="B64" s="2" t="str" cm="1">
        <f t="array" ref="B64">TranslateFromLiteral(tab\Objects[[#This Row],[Object]])</f>
        <v>3743?361723570634</v>
      </c>
    </row>
    <row r="65" spans="1:2" x14ac:dyDescent="0.3">
      <c r="A65" s="2" t="s">
        <v>92</v>
      </c>
      <c r="B65" s="2" t="str" cm="1">
        <f t="array" ref="B65">TranslateFromLiteral(tab\Objects[[#This Row],[Object]])</f>
        <v>3706</v>
      </c>
    </row>
    <row r="66" spans="1:2" x14ac:dyDescent="0.3">
      <c r="A66" s="2" t="s">
        <v>668</v>
      </c>
      <c r="B66" s="2" t="str" cm="1">
        <f t="array" ref="B66">TranslateFromLiteral(tab\Objects[[#This Row],[Object]])</f>
        <v>3706723?117793</v>
      </c>
    </row>
    <row r="67" spans="1:2" x14ac:dyDescent="0.3">
      <c r="A67" s="2" t="s">
        <v>114</v>
      </c>
      <c r="B67" s="2" t="str" cm="1">
        <f t="array" ref="B67">TranslateFromLiteral(tab\Objects[[#This Row],[Object]])</f>
        <v>39533</v>
      </c>
    </row>
    <row r="68" spans="1:2" x14ac:dyDescent="0.3">
      <c r="A68" s="2" t="s">
        <v>669</v>
      </c>
      <c r="B68" s="2" t="str" cm="1">
        <f t="array" ref="B68">TranslateFromLiteral(tab\Objects[[#This Row],[Object]])</f>
        <v>39513</v>
      </c>
    </row>
    <row r="69" spans="1:2" x14ac:dyDescent="0.3">
      <c r="A69" s="2" t="s">
        <v>670</v>
      </c>
      <c r="B69" s="2" t="str" cm="1">
        <f t="array" ref="B69">TranslateFromLiteral(tab\Objects[[#This Row],[Object]])</f>
        <v>3012</v>
      </c>
    </row>
    <row r="70" spans="1:2" x14ac:dyDescent="0.3">
      <c r="A70" s="2" t="s">
        <v>83</v>
      </c>
      <c r="B70" s="2" t="str" cm="1">
        <f t="array" ref="B70">TranslateFromLiteral(tab\Objects[[#This Row],[Object]])</f>
        <v>3001</v>
      </c>
    </row>
    <row r="71" spans="1:2" x14ac:dyDescent="0.3">
      <c r="A71" s="2" t="s">
        <v>302</v>
      </c>
      <c r="B71" s="2" t="str" cm="1">
        <f t="array" ref="B71">TranslateFromLiteral(tab\Objects[[#This Row],[Object]])</f>
        <v>3047</v>
      </c>
    </row>
    <row r="72" spans="1:2" x14ac:dyDescent="0.3">
      <c r="A72" s="2" t="s">
        <v>671</v>
      </c>
      <c r="B72" s="2" t="str" cm="1">
        <f t="array" ref="B72">TranslateFromLiteral(tab\Objects[[#This Row],[Object]])</f>
        <v>30479731</v>
      </c>
    </row>
    <row r="73" spans="1:2" x14ac:dyDescent="0.3">
      <c r="A73" s="2" t="s">
        <v>614</v>
      </c>
      <c r="B73" s="2" t="str" cm="1">
        <f t="array" ref="B73">TranslateFromLiteral(tab\Objects[[#This Row],[Object]])</f>
        <v>3403?3930</v>
      </c>
    </row>
    <row r="74" spans="1:2" x14ac:dyDescent="0.3">
      <c r="A74" s="2" t="s">
        <v>672</v>
      </c>
      <c r="B74" s="2" t="str" cm="1">
        <f t="array" ref="B74">TranslateFromLiteral(tab\Objects[[#This Row],[Object]])</f>
        <v>3749?02?1?52779793</v>
      </c>
    </row>
    <row r="75" spans="1:2" x14ac:dyDescent="0.3">
      <c r="A75" s="2" t="s">
        <v>112</v>
      </c>
      <c r="B75" s="2" t="str" cm="1">
        <f t="array" ref="B75">TranslateFromLiteral(tab\Objects[[#This Row],[Object]])</f>
        <v>3953</v>
      </c>
    </row>
    <row r="76" spans="1:2" x14ac:dyDescent="0.3">
      <c r="A76" s="2" t="s">
        <v>673</v>
      </c>
      <c r="B76" s="2" t="str" cm="1">
        <f t="array" ref="B76">TranslateFromLiteral(tab\Objects[[#This Row],[Object]])</f>
        <v>32023</v>
      </c>
    </row>
    <row r="77" spans="1:2" x14ac:dyDescent="0.3">
      <c r="A77" s="2" t="s">
        <v>674</v>
      </c>
      <c r="B77" s="2" t="str" cm="1">
        <f t="array" ref="B77">TranslateFromLiteral(tab\Objects[[#This Row],[Object]])</f>
        <v>3011?5716?60420</v>
      </c>
    </row>
    <row r="78" spans="1:2" x14ac:dyDescent="0.3">
      <c r="A78" s="2" t="s">
        <v>675</v>
      </c>
      <c r="B78" s="2" t="str" cm="1">
        <f t="array" ref="B78">TranslateFromLiteral(tab\Objects[[#This Row],[Object]])</f>
        <v>3093?8199</v>
      </c>
    </row>
    <row r="79" spans="1:2" x14ac:dyDescent="0.3">
      <c r="A79" s="2" t="s">
        <v>608</v>
      </c>
      <c r="B79" s="2" t="str" cm="1">
        <f t="array" ref="B79">TranslateFromLiteral(tab\Objects[[#This Row],[Object]])</f>
        <v>3093?7958</v>
      </c>
    </row>
    <row r="80" spans="1:2" x14ac:dyDescent="0.3">
      <c r="A80" s="2" t="s">
        <v>628</v>
      </c>
      <c r="B80" s="2" t="str" cm="1">
        <f t="array" ref="B80">TranslateFromLiteral(tab\Objects[[#This Row],[Object]])</f>
        <v>3021091</v>
      </c>
    </row>
    <row r="81" spans="1:2" x14ac:dyDescent="0.3">
      <c r="A81" s="2" t="s">
        <v>606</v>
      </c>
      <c r="B81" s="2" t="str" cm="1">
        <f t="array" ref="B81">TranslateFromLiteral(tab\Objects[[#This Row],[Object]])</f>
        <v>3432113</v>
      </c>
    </row>
    <row r="82" spans="1:2" x14ac:dyDescent="0.3">
      <c r="A82" s="2" t="s">
        <v>299</v>
      </c>
      <c r="B82" s="2" t="str" cm="1">
        <f t="array" ref="B82">TranslateFromLiteral(tab\Objects[[#This Row],[Object]])</f>
        <v>357114</v>
      </c>
    </row>
    <row r="83" spans="1:2" x14ac:dyDescent="0.3">
      <c r="A83" s="2" t="s">
        <v>281</v>
      </c>
      <c r="B83" s="2" t="str" cm="1">
        <f t="array" ref="B83">TranslateFromLiteral(tab\Objects[[#This Row],[Object]])</f>
        <v>6174</v>
      </c>
    </row>
    <row r="84" spans="1:2" x14ac:dyDescent="0.3">
      <c r="A84" s="2" t="s">
        <v>676</v>
      </c>
      <c r="B84" s="2" t="str" cm="1">
        <f t="array" ref="B84">TranslateFromLiteral(tab\Objects[[#This Row],[Object]])</f>
        <v>6148</v>
      </c>
    </row>
    <row r="85" spans="1:2" x14ac:dyDescent="0.3">
      <c r="A85" s="2" t="s">
        <v>603</v>
      </c>
      <c r="B85" s="2" t="str" cm="1">
        <f t="array" ref="B85">TranslateFromLiteral(tab\Objects[[#This Row],[Object]])</f>
        <v>6311860230</v>
      </c>
    </row>
    <row r="86" spans="1:2" x14ac:dyDescent="0.3">
      <c r="A86" s="2" t="s">
        <v>53</v>
      </c>
      <c r="B86" s="2" t="str" cm="1">
        <f t="array" ref="B86">TranslateFromLiteral(tab\Objects[[#This Row],[Object]])</f>
        <v>6736?63390</v>
      </c>
    </row>
    <row r="87" spans="1:2" x14ac:dyDescent="0.3">
      <c r="A87" s="2" t="s">
        <v>622</v>
      </c>
      <c r="B87" s="2" t="str" cm="1">
        <f t="array" ref="B87">TranslateFromLiteral(tab\Objects[[#This Row],[Object]])</f>
        <v>67363753</v>
      </c>
    </row>
    <row r="88" spans="1:2" x14ac:dyDescent="0.3">
      <c r="A88" s="2" t="s">
        <v>677</v>
      </c>
      <c r="B88" s="2" t="str" cm="1">
        <f t="array" ref="B88">TranslateFromLiteral(tab\Objects[[#This Row],[Object]])</f>
        <v>600534</v>
      </c>
    </row>
    <row r="89" spans="1:2" x14ac:dyDescent="0.3">
      <c r="A89" s="2" t="s">
        <v>167</v>
      </c>
      <c r="B89" s="2" t="str" cm="1">
        <f t="array" ref="B89">TranslateFromLiteral(tab\Objects[[#This Row],[Object]])</f>
        <v>60403</v>
      </c>
    </row>
    <row r="90" spans="1:2" x14ac:dyDescent="0.3">
      <c r="A90" s="2" t="s">
        <v>627</v>
      </c>
      <c r="B90" s="2" t="str" cm="1">
        <f t="array" ref="B90">TranslateFromLiteral(tab\Objects[[#This Row],[Object]])</f>
        <v>93999?3706</v>
      </c>
    </row>
    <row r="91" spans="1:2" x14ac:dyDescent="0.3">
      <c r="A91" s="2" t="s">
        <v>678</v>
      </c>
      <c r="B91" s="2" t="str" cm="1">
        <f t="array" ref="B91">TranslateFromLiteral(tab\Objects[[#This Row],[Object]])</f>
        <v>73818</v>
      </c>
    </row>
    <row r="92" spans="1:2" x14ac:dyDescent="0.3">
      <c r="A92" s="2" t="s">
        <v>611</v>
      </c>
      <c r="B92" s="2" t="str" cm="1">
        <f t="array" ref="B92">TranslateFromLiteral(tab\Objects[[#This Row],[Object]])</f>
        <v>739</v>
      </c>
    </row>
    <row r="93" spans="1:2" x14ac:dyDescent="0.3">
      <c r="A93" s="2" t="s">
        <v>178</v>
      </c>
      <c r="B93" s="2" t="str" cm="1">
        <f t="array" ref="B93">TranslateFromLiteral(tab\Objects[[#This Row],[Object]])</f>
        <v>7713</v>
      </c>
    </row>
    <row r="94" spans="1:2" x14ac:dyDescent="0.3">
      <c r="A94" s="2" t="s">
        <v>40</v>
      </c>
      <c r="B94" s="2" t="str" cm="1">
        <f t="array" ref="B94">TranslateFromLiteral(tab\Objects[[#This Row],[Object]])</f>
        <v>72733</v>
      </c>
    </row>
    <row r="95" spans="1:2" x14ac:dyDescent="0.3">
      <c r="A95" s="2" t="s">
        <v>81</v>
      </c>
      <c r="B95" s="2" t="str" cm="1">
        <f t="array" ref="B95">TranslateFromLiteral(tab\Objects[[#This Row],[Object]])</f>
        <v>911134</v>
      </c>
    </row>
    <row r="96" spans="1:2" x14ac:dyDescent="0.3">
      <c r="A96" s="2" t="s">
        <v>679</v>
      </c>
      <c r="B96" s="2" t="str" cm="1">
        <f t="array" ref="B96">TranslateFromLiteral(tab\Objects[[#This Row],[Object]])</f>
        <v>9121342</v>
      </c>
    </row>
    <row r="97" spans="1:2" x14ac:dyDescent="0.3">
      <c r="A97" s="2" t="s">
        <v>680</v>
      </c>
      <c r="B97" s="2" t="str" cm="1">
        <f t="array" ref="B97">TranslateFromLiteral(tab\Objects[[#This Row],[Object]])</f>
        <v>918108????871</v>
      </c>
    </row>
    <row r="98" spans="1:2" x14ac:dyDescent="0.3">
      <c r="A98" s="2" t="s">
        <v>256</v>
      </c>
      <c r="B98" s="2" t="str" cm="1">
        <f t="array" ref="B98">TranslateFromLiteral(tab\Objects[[#This Row],[Object]])</f>
        <v>91000</v>
      </c>
    </row>
    <row r="99" spans="1:2" x14ac:dyDescent="0.3">
      <c r="A99" s="2" t="s">
        <v>681</v>
      </c>
      <c r="B99" s="2" t="str" cm="1">
        <f t="array" ref="B99">TranslateFromLiteral(tab\Objects[[#This Row],[Object]])</f>
        <v>9313</v>
      </c>
    </row>
    <row r="100" spans="1:2" x14ac:dyDescent="0.3">
      <c r="A100" s="2" t="s">
        <v>682</v>
      </c>
      <c r="B100" s="2" t="str" cm="1">
        <f t="array" ref="B100">TranslateFromLiteral(tab\Objects[[#This Row],[Object]])</f>
        <v>93202</v>
      </c>
    </row>
    <row r="101" spans="1:2" x14ac:dyDescent="0.3">
      <c r="A101" s="2" t="s">
        <v>104</v>
      </c>
      <c r="B101" s="2" t="str" cm="1">
        <f t="array" ref="B101">TranslateFromLiteral(tab\Objects[[#This Row],[Object]])</f>
        <v>973618598</v>
      </c>
    </row>
    <row r="102" spans="1:2" x14ac:dyDescent="0.3">
      <c r="A102" s="2" t="s">
        <v>683</v>
      </c>
      <c r="B102" s="2" t="str" cm="1">
        <f t="array" ref="B102">TranslateFromLiteral(tab\Objects[[#This Row],[Object]])</f>
        <v>9736134</v>
      </c>
    </row>
    <row r="103" spans="1:2" x14ac:dyDescent="0.3">
      <c r="A103" s="2" t="s">
        <v>684</v>
      </c>
      <c r="B103" s="2" t="str" cm="1">
        <f t="array" ref="B103">TranslateFromLiteral(tab\Objects[[#This Row],[Object]])</f>
        <v>9702</v>
      </c>
    </row>
    <row r="104" spans="1:2" x14ac:dyDescent="0.3">
      <c r="A104" s="2" t="s">
        <v>39</v>
      </c>
      <c r="B104" s="2" t="str" cm="1">
        <f t="array" ref="B104">TranslateFromLiteral(tab\Objects[[#This Row],[Object]])</f>
        <v>9780</v>
      </c>
    </row>
    <row r="105" spans="1:2" x14ac:dyDescent="0.3">
      <c r="A105" s="2" t="s">
        <v>39</v>
      </c>
      <c r="B105" s="2" t="str" cm="1">
        <f t="array" ref="B105">TranslateFromLiteral(tab\Objects[[#This Row],[Object]])</f>
        <v>9780</v>
      </c>
    </row>
    <row r="106" spans="1:2" x14ac:dyDescent="0.3">
      <c r="A106" s="2" t="s">
        <v>685</v>
      </c>
      <c r="B106" s="2" t="str" cm="1">
        <f t="array" ref="B106">TranslateFromLiteral(tab\Objects[[#This Row],[Object]])</f>
        <v>9077</v>
      </c>
    </row>
    <row r="107" spans="1:2" x14ac:dyDescent="0.3">
      <c r="A107" s="2" t="s">
        <v>686</v>
      </c>
      <c r="B107" s="2" t="str" cm="1">
        <f t="array" ref="B107">TranslateFromLiteral(tab\Objects[[#This Row],[Object]])</f>
        <v>90997808</v>
      </c>
    </row>
    <row r="108" spans="1:2" x14ac:dyDescent="0.3">
      <c r="A108" s="2" t="s">
        <v>98</v>
      </c>
      <c r="B108" s="2" t="str" cm="1">
        <f t="array" ref="B108">TranslateFromLiteral(tab\Objects[[#This Row],[Object]])</f>
        <v>2179</v>
      </c>
    </row>
    <row r="109" spans="1:2" x14ac:dyDescent="0.3">
      <c r="A109" s="2" t="s">
        <v>600</v>
      </c>
      <c r="B109" s="2" t="str" cm="1">
        <f t="array" ref="B109">TranslateFromLiteral(tab\Objects[[#This Row],[Object]])</f>
        <v>231054723?953</v>
      </c>
    </row>
    <row r="110" spans="1:2" x14ac:dyDescent="0.3">
      <c r="A110" s="2" t="s">
        <v>687</v>
      </c>
      <c r="B110" s="2" t="str" cm="1">
        <f t="array" ref="B110">TranslateFromLiteral(tab\Objects[[#This Row],[Object]])</f>
        <v>23119</v>
      </c>
    </row>
    <row r="111" spans="1:2" x14ac:dyDescent="0.3">
      <c r="A111" s="2" t="s">
        <v>688</v>
      </c>
      <c r="B111" s="2" t="str" cm="1">
        <f t="array" ref="B111">TranslateFromLiteral(tab\Objects[[#This Row],[Object]])</f>
        <v>233186023</v>
      </c>
    </row>
    <row r="112" spans="1:2" x14ac:dyDescent="0.3">
      <c r="A112" s="2" t="s">
        <v>615</v>
      </c>
      <c r="B112" s="2" t="str" cm="1">
        <f t="array" ref="B112">TranslateFromLiteral(tab\Objects[[#This Row],[Object]])</f>
        <v>2342171</v>
      </c>
    </row>
    <row r="113" spans="1:2" x14ac:dyDescent="0.3">
      <c r="A113" s="2" t="s">
        <v>99</v>
      </c>
      <c r="B113" s="2" t="str" cm="1">
        <f t="array" ref="B113">TranslateFromLiteral(tab\Objects[[#This Row],[Object]])</f>
        <v>2797</v>
      </c>
    </row>
    <row r="114" spans="1:2" x14ac:dyDescent="0.3">
      <c r="A114" s="2" t="s">
        <v>555</v>
      </c>
      <c r="B114" s="2" t="str" cm="1">
        <f t="array" ref="B114">TranslateFromLiteral(tab\Objects[[#This Row],[Object]])</f>
        <v>274404</v>
      </c>
    </row>
    <row r="115" spans="1:2" x14ac:dyDescent="0.3">
      <c r="A115" s="2" t="s">
        <v>103</v>
      </c>
      <c r="B115" s="2" t="str" cm="1">
        <f t="array" ref="B115">TranslateFromLiteral(tab\Objects[[#This Row],[Object]])</f>
        <v>208</v>
      </c>
    </row>
    <row r="116" spans="1:2" x14ac:dyDescent="0.3">
      <c r="A116" s="2" t="s">
        <v>619</v>
      </c>
      <c r="B116" s="2" t="str" cm="1">
        <f t="array" ref="B116">TranslateFromLiteral(tab\Objects[[#This Row],[Object]])</f>
        <v>202739</v>
      </c>
    </row>
    <row r="117" spans="1:2" x14ac:dyDescent="0.3">
      <c r="A117" s="2" t="s">
        <v>101</v>
      </c>
      <c r="B117" s="2" t="str" cm="1">
        <f t="array" ref="B117">TranslateFromLiteral(tab\Objects[[#This Row],[Object]])</f>
        <v>2002</v>
      </c>
    </row>
    <row r="118" spans="1:2" x14ac:dyDescent="0.3">
      <c r="A118" s="2" t="s">
        <v>97</v>
      </c>
      <c r="B118" s="2" t="str" cm="1">
        <f t="array" ref="B118">TranslateFromLiteral(tab\Objects[[#This Row],[Object]])</f>
        <v>20521172</v>
      </c>
    </row>
    <row r="119" spans="1:2" x14ac:dyDescent="0.3">
      <c r="A119" s="2" t="s">
        <v>624</v>
      </c>
      <c r="B119" s="2" t="str" cm="1">
        <f t="array" ref="B119">TranslateFromLiteral(tab\Objects[[#This Row],[Object]])</f>
        <v>20503</v>
      </c>
    </row>
    <row r="120" spans="1:2" x14ac:dyDescent="0.3">
      <c r="A120" s="2" t="s">
        <v>689</v>
      </c>
      <c r="B120" s="2" t="str" cm="1">
        <f t="array" ref="B120">TranslateFromLiteral(tab\Objects[[#This Row],[Object]])</f>
        <v>253372</v>
      </c>
    </row>
    <row r="121" spans="1:2" x14ac:dyDescent="0.3">
      <c r="A121" s="2" t="s">
        <v>690</v>
      </c>
      <c r="B121" s="2" t="str" cm="1">
        <f t="array" ref="B121">TranslateFromLiteral(tab\Objects[[#This Row],[Object]])</f>
        <v>25229</v>
      </c>
    </row>
    <row r="122" spans="1:2" x14ac:dyDescent="0.3">
      <c r="A122" s="2" t="s">
        <v>618</v>
      </c>
      <c r="B122" s="2" t="str" cm="1">
        <f t="array" ref="B122">TranslateFromLiteral(tab\Objects[[#This Row],[Object]])</f>
        <v>250793?142</v>
      </c>
    </row>
    <row r="123" spans="1:2" x14ac:dyDescent="0.3">
      <c r="A123" s="2" t="s">
        <v>691</v>
      </c>
      <c r="B123" s="2" t="str" cm="1">
        <f t="array" ref="B123">TranslateFromLiteral(tab\Objects[[#This Row],[Object]])</f>
        <v>250640020</v>
      </c>
    </row>
    <row r="124" spans="1:2" x14ac:dyDescent="0.3">
      <c r="A124" s="2" t="s">
        <v>692</v>
      </c>
      <c r="B124" s="2" t="str" cm="1">
        <f t="array" ref="B124">TranslateFromLiteral(tab\Objects[[#This Row],[Object]])</f>
        <v>2179</v>
      </c>
    </row>
    <row r="125" spans="1:2" x14ac:dyDescent="0.3">
      <c r="A125" s="2" t="s">
        <v>95</v>
      </c>
      <c r="B125" s="2" t="str" cm="1">
        <f t="array" ref="B125">TranslateFromLiteral(tab\Objects[[#This Row],[Object]])</f>
        <v>23779173</v>
      </c>
    </row>
    <row r="126" spans="1:2" x14ac:dyDescent="0.3">
      <c r="A126" s="2" t="s">
        <v>634</v>
      </c>
      <c r="B126" s="2" t="str" cm="1">
        <f t="array" ref="B126">TranslateFromLiteral(tab\Objects[[#This Row],[Object]])</f>
        <v>233193</v>
      </c>
    </row>
    <row r="127" spans="1:2" x14ac:dyDescent="0.3">
      <c r="A127" s="2" t="s">
        <v>96</v>
      </c>
      <c r="B127" s="2" t="str" cm="1">
        <f t="array" ref="B127">TranslateFromLiteral(tab\Objects[[#This Row],[Object]])</f>
        <v>2341?3910030</v>
      </c>
    </row>
    <row r="128" spans="1:2" x14ac:dyDescent="0.3">
      <c r="A128" s="2" t="s">
        <v>693</v>
      </c>
      <c r="B128" s="2" t="str" cm="1">
        <f t="array" ref="B128">TranslateFromLiteral(tab\Objects[[#This Row],[Object]])</f>
        <v>231</v>
      </c>
    </row>
    <row r="129" spans="1:2" x14ac:dyDescent="0.3">
      <c r="A129" s="2" t="s">
        <v>694</v>
      </c>
      <c r="B129" s="2" t="str" cm="1">
        <f t="array" ref="B129">TranslateFromLiteral(tab\Objects[[#This Row],[Object]])</f>
        <v>27291?154193</v>
      </c>
    </row>
    <row r="130" spans="1:2" x14ac:dyDescent="0.3">
      <c r="A130" s="2" t="s">
        <v>695</v>
      </c>
      <c r="B130" s="2" t="str" cm="1">
        <f t="array" ref="B130">TranslateFromLiteral(tab\Objects[[#This Row],[Object]])</f>
        <v>2003</v>
      </c>
    </row>
    <row r="131" spans="1:2" x14ac:dyDescent="0.3">
      <c r="A131" s="2" t="s">
        <v>470</v>
      </c>
      <c r="B131" s="2" t="str" cm="1">
        <f t="array" ref="B131">TranslateFromLiteral(tab\Objects[[#This Row],[Object]])</f>
        <v>20138007</v>
      </c>
    </row>
    <row r="132" spans="1:2" x14ac:dyDescent="0.3">
      <c r="A132" s="2" t="s">
        <v>561</v>
      </c>
      <c r="B132" s="2" t="str" cm="1">
        <f t="array" ref="B132">TranslateFromLiteral(tab\Objects[[#This Row],[Object]])</f>
        <v>02702</v>
      </c>
    </row>
    <row r="133" spans="1:2" x14ac:dyDescent="0.3">
      <c r="A133" s="2" t="s">
        <v>610</v>
      </c>
      <c r="B133" s="2" t="str" cm="1">
        <f t="array" ref="B133">TranslateFromLiteral(tab\Objects[[#This Row],[Object]])</f>
        <v>8119077</v>
      </c>
    </row>
    <row r="134" spans="1:2" x14ac:dyDescent="0.3">
      <c r="A134" s="2" t="s">
        <v>623</v>
      </c>
      <c r="B134" s="2" t="str" cm="1">
        <f t="array" ref="B134">TranslateFromLiteral(tab\Objects[[#This Row],[Object]])</f>
        <v>8777?58?512</v>
      </c>
    </row>
    <row r="135" spans="1:2" x14ac:dyDescent="0.3">
      <c r="A135" s="2" t="s">
        <v>467</v>
      </c>
      <c r="B135" s="2" t="str" cm="1">
        <f t="array" ref="B135">TranslateFromLiteral(tab\Objects[[#This Row],[Object]])</f>
        <v>873302</v>
      </c>
    </row>
    <row r="136" spans="1:2" x14ac:dyDescent="0.3">
      <c r="A136" s="2" t="s">
        <v>696</v>
      </c>
      <c r="B136" s="2" t="str" cm="1">
        <f t="array" ref="B136">TranslateFromLiteral(tab\Objects[[#This Row],[Object]])</f>
        <v>8783</v>
      </c>
    </row>
    <row r="137" spans="1:2" x14ac:dyDescent="0.3">
      <c r="A137" s="2" t="s">
        <v>697</v>
      </c>
      <c r="B137" s="2" t="str" cm="1">
        <f t="array" ref="B137">TranslateFromLiteral(tab\Objects[[#This Row],[Object]])</f>
        <v>8783?543276</v>
      </c>
    </row>
    <row r="138" spans="1:2" x14ac:dyDescent="0.3">
      <c r="A138" s="2" t="s">
        <v>698</v>
      </c>
      <c r="B138" s="2" t="str" cm="1">
        <f t="array" ref="B138">TranslateFromLiteral(tab\Objects[[#This Row],[Object]])</f>
        <v>8009?8199</v>
      </c>
    </row>
    <row r="139" spans="1:2" x14ac:dyDescent="0.3">
      <c r="A139" s="2" t="s">
        <v>699</v>
      </c>
      <c r="B139" s="2" t="str" cm="1">
        <f t="array" ref="B139">TranslateFromLiteral(tab\Objects[[#This Row],[Object]])</f>
        <v>8412</v>
      </c>
    </row>
    <row r="140" spans="1:2" x14ac:dyDescent="0.3">
      <c r="A140" s="2" t="s">
        <v>700</v>
      </c>
      <c r="B140" s="2" t="str" cm="1">
        <f t="array" ref="B140">TranslateFromLiteral(tab\Objects[[#This Row],[Object]])</f>
        <v>85276?2176723</v>
      </c>
    </row>
    <row r="141" spans="1:2" x14ac:dyDescent="0.3">
      <c r="A141" s="2" t="s">
        <v>488</v>
      </c>
      <c r="B141" s="2" t="str" cm="1">
        <f t="array" ref="B141">TranslateFromLiteral(tab\Objects[[#This Row],[Object]])</f>
        <v>418871</v>
      </c>
    </row>
    <row r="142" spans="1:2" x14ac:dyDescent="0.3">
      <c r="A142" s="2" t="s">
        <v>102</v>
      </c>
      <c r="B142" s="2" t="str" cm="1">
        <f t="array" ref="B142">TranslateFromLiteral(tab\Objects[[#This Row],[Object]])</f>
        <v>41114</v>
      </c>
    </row>
    <row r="143" spans="1:2" x14ac:dyDescent="0.3">
      <c r="A143" s="2" t="s">
        <v>701</v>
      </c>
      <c r="B143" s="2" t="str" cm="1">
        <f t="array" ref="B143">TranslateFromLiteral(tab\Objects[[#This Row],[Object]])</f>
        <v>41170</v>
      </c>
    </row>
    <row r="144" spans="1:2" x14ac:dyDescent="0.3">
      <c r="A144" s="2" t="s">
        <v>702</v>
      </c>
      <c r="B144" s="2" t="str" cm="1">
        <f t="array" ref="B144">TranslateFromLiteral(tab\Objects[[#This Row],[Object]])</f>
        <v>432013</v>
      </c>
    </row>
    <row r="145" spans="1:2" x14ac:dyDescent="0.3">
      <c r="A145" s="2" t="s">
        <v>100</v>
      </c>
      <c r="B145" s="2" t="str" cm="1">
        <f t="array" ref="B145">TranslateFromLiteral(tab\Objects[[#This Row],[Object]])</f>
        <v>478802</v>
      </c>
    </row>
    <row r="146" spans="1:2" x14ac:dyDescent="0.3">
      <c r="A146" s="2" t="s">
        <v>89</v>
      </c>
      <c r="B146" s="2" t="str" cm="1">
        <f t="array" ref="B146">TranslateFromLiteral(tab\Objects[[#This Row],[Object]])</f>
        <v>4723</v>
      </c>
    </row>
    <row r="147" spans="1:2" x14ac:dyDescent="0.3">
      <c r="A147" s="2" t="s">
        <v>327</v>
      </c>
      <c r="B147" s="2" t="str" cm="1">
        <f t="array" ref="B147">TranslateFromLiteral(tab\Objects[[#This Row],[Object]])</f>
        <v>407731</v>
      </c>
    </row>
    <row r="148" spans="1:2" x14ac:dyDescent="0.3">
      <c r="A148" s="2" t="s">
        <v>703</v>
      </c>
      <c r="B148" s="2" t="str" cm="1">
        <f t="array" ref="B148">TranslateFromLiteral(tab\Objects[[#This Row],[Object]])</f>
        <v>4001</v>
      </c>
    </row>
    <row r="149" spans="1:2" x14ac:dyDescent="0.3">
      <c r="A149" s="2" t="s">
        <v>633</v>
      </c>
      <c r="B149" s="2" t="str" cm="1">
        <f t="array" ref="B149">TranslateFromLiteral(tab\Objects[[#This Row],[Object]])</f>
        <v>4003</v>
      </c>
    </row>
    <row r="150" spans="1:2" x14ac:dyDescent="0.3">
      <c r="A150" s="2" t="s">
        <v>704</v>
      </c>
      <c r="B150" s="2" t="str" cm="1">
        <f t="array" ref="B150">TranslateFromLiteral(tab\Objects[[#This Row],[Object]])</f>
        <v>45934</v>
      </c>
    </row>
    <row r="151" spans="1:2" x14ac:dyDescent="0.3">
      <c r="A151" s="2" t="s">
        <v>705</v>
      </c>
      <c r="B151" s="2" t="str" cm="1">
        <f t="array" ref="B151">TranslateFromLiteral(tab\Objects[[#This Row],[Object]])</f>
        <v>0191</v>
      </c>
    </row>
    <row r="152" spans="1:2" x14ac:dyDescent="0.3">
      <c r="A152" s="2" t="s">
        <v>706</v>
      </c>
      <c r="B152" s="2" t="str" cm="1">
        <f t="array" ref="B152">TranslateFromLiteral(tab\Objects[[#This Row],[Object]])</f>
        <v>01211?0?093736</v>
      </c>
    </row>
    <row r="153" spans="1:2" x14ac:dyDescent="0.3">
      <c r="A153" s="2" t="s">
        <v>707</v>
      </c>
      <c r="B153" s="2" t="str" cm="1">
        <f t="array" ref="B153">TranslateFromLiteral(tab\Objects[[#This Row],[Object]])</f>
        <v>016086023</v>
      </c>
    </row>
    <row r="154" spans="1:2" x14ac:dyDescent="0.3">
      <c r="A154" s="2" t="s">
        <v>708</v>
      </c>
      <c r="B154" s="2" t="str" cm="1">
        <f t="array" ref="B154">TranslateFromLiteral(tab\Objects[[#This Row],[Object]])</f>
        <v>07700040</v>
      </c>
    </row>
    <row r="155" spans="1:2" x14ac:dyDescent="0.3">
      <c r="A155" s="2" t="s">
        <v>621</v>
      </c>
      <c r="B155" s="2" t="str" cm="1">
        <f t="array" ref="B155">TranslateFromLiteral(tab\Objects[[#This Row],[Object]])</f>
        <v>0700134</v>
      </c>
    </row>
    <row r="156" spans="1:2" x14ac:dyDescent="0.3">
      <c r="A156" s="2" t="s">
        <v>709</v>
      </c>
      <c r="B156" s="2" t="str" cm="1">
        <f t="array" ref="B156">TranslateFromLiteral(tab\Objects[[#This Row],[Object]])</f>
        <v>0313599</v>
      </c>
    </row>
    <row r="157" spans="1:2" x14ac:dyDescent="0.3">
      <c r="A157" s="2" t="s">
        <v>710</v>
      </c>
      <c r="B157" s="2" t="str" cm="1">
        <f t="array" ref="B157">TranslateFromLiteral(tab\Objects[[#This Row],[Object]])</f>
        <v>03160403</v>
      </c>
    </row>
    <row r="158" spans="1:2" ht="28.8" x14ac:dyDescent="0.3">
      <c r="A158" s="2" t="s">
        <v>711</v>
      </c>
      <c r="B158" s="2" t="str" cm="1">
        <f t="array" ref="B158">TranslateFromLiteral(tab\Objects[[#This Row],[Object]])</f>
        <v>0327?151021177?6121352</v>
      </c>
    </row>
    <row r="159" spans="1:2" x14ac:dyDescent="0.3">
      <c r="A159" s="2" t="s">
        <v>626</v>
      </c>
      <c r="B159" s="2" t="str" cm="1">
        <f t="array" ref="B159">TranslateFromLiteral(tab\Objects[[#This Row],[Object]])</f>
        <v>06147</v>
      </c>
    </row>
    <row r="160" spans="1:2" x14ac:dyDescent="0.3">
      <c r="A160" s="2" t="s">
        <v>495</v>
      </c>
      <c r="B160" s="2" t="str" cm="1">
        <f t="array" ref="B160">TranslateFromLiteral(tab\Objects[[#This Row],[Object]])</f>
        <v>067391</v>
      </c>
    </row>
    <row r="161" spans="1:2" x14ac:dyDescent="0.3">
      <c r="A161" s="2" t="s">
        <v>712</v>
      </c>
      <c r="B161" s="2" t="str" cm="1">
        <f t="array" ref="B161">TranslateFromLiteral(tab\Objects[[#This Row],[Object]])</f>
        <v>06088723?7141</v>
      </c>
    </row>
    <row r="162" spans="1:2" x14ac:dyDescent="0.3">
      <c r="A162" s="2" t="s">
        <v>713</v>
      </c>
      <c r="B162" s="2" t="str" cm="1">
        <f t="array" ref="B162">TranslateFromLiteral(tab\Objects[[#This Row],[Object]])</f>
        <v>07432</v>
      </c>
    </row>
    <row r="163" spans="1:2" x14ac:dyDescent="0.3">
      <c r="A163" s="2" t="s">
        <v>90</v>
      </c>
      <c r="B163" s="2" t="str" cm="1">
        <f t="array" ref="B163">TranslateFromLiteral(tab\Objects[[#This Row],[Object]])</f>
        <v>07113</v>
      </c>
    </row>
    <row r="164" spans="1:2" x14ac:dyDescent="0.3">
      <c r="A164" s="2" t="s">
        <v>714</v>
      </c>
      <c r="B164" s="2" t="str" cm="1">
        <f t="array" ref="B164">TranslateFromLiteral(tab\Objects[[#This Row],[Object]])</f>
        <v>02073</v>
      </c>
    </row>
    <row r="165" spans="1:2" x14ac:dyDescent="0.3">
      <c r="A165" s="2" t="s">
        <v>54</v>
      </c>
      <c r="B165" s="2" t="str" cm="1">
        <f t="array" ref="B165">TranslateFromLiteral(tab\Objects[[#This Row],[Object]])</f>
        <v>02179</v>
      </c>
    </row>
    <row r="166" spans="1:2" x14ac:dyDescent="0.3">
      <c r="A166" s="2" t="s">
        <v>447</v>
      </c>
      <c r="B166" s="2" t="str" cm="1">
        <f t="array" ref="B166">TranslateFromLiteral(tab\Objects[[#This Row],[Object]])</f>
        <v>02173</v>
      </c>
    </row>
    <row r="167" spans="1:2" x14ac:dyDescent="0.3">
      <c r="A167" s="2" t="s">
        <v>715</v>
      </c>
      <c r="B167" s="2" t="str" cm="1">
        <f t="array" ref="B167">TranslateFromLiteral(tab\Objects[[#This Row],[Object]])</f>
        <v>0204739</v>
      </c>
    </row>
    <row r="168" spans="1:2" x14ac:dyDescent="0.3">
      <c r="A168" s="2" t="s">
        <v>630</v>
      </c>
      <c r="B168" s="2" t="str" cm="1">
        <f t="array" ref="B168">TranslateFromLiteral(tab\Objects[[#This Row],[Object]])</f>
        <v>0205212</v>
      </c>
    </row>
    <row r="169" spans="1:2" x14ac:dyDescent="0.3">
      <c r="A169" s="2" t="s">
        <v>716</v>
      </c>
      <c r="B169" s="2" t="str" cm="1">
        <f t="array" ref="B169">TranslateFromLiteral(tab\Objects[[#This Row],[Object]])</f>
        <v>0031</v>
      </c>
    </row>
    <row r="170" spans="1:2" x14ac:dyDescent="0.3">
      <c r="A170" s="2" t="s">
        <v>717</v>
      </c>
      <c r="B170" s="2" t="str" cm="1">
        <f t="array" ref="B170">TranslateFromLiteral(tab\Objects[[#This Row],[Object]])</f>
        <v>08173?0571</v>
      </c>
    </row>
    <row r="171" spans="1:2" x14ac:dyDescent="0.3">
      <c r="A171" s="2" t="s">
        <v>604</v>
      </c>
      <c r="B171" s="2" t="str" cm="1">
        <f t="array" ref="B171">TranslateFromLiteral(tab\Objects[[#This Row],[Object]])</f>
        <v>08317340</v>
      </c>
    </row>
    <row r="172" spans="1:2" x14ac:dyDescent="0.3">
      <c r="A172" s="2" t="s">
        <v>718</v>
      </c>
      <c r="B172" s="2" t="str" cm="1">
        <f t="array" ref="B172">TranslateFromLiteral(tab\Objects[[#This Row],[Object]])</f>
        <v>04574439</v>
      </c>
    </row>
    <row r="173" spans="1:2" x14ac:dyDescent="0.3">
      <c r="A173" s="2" t="s">
        <v>719</v>
      </c>
      <c r="B173" s="2" t="str" cm="1">
        <f t="array" ref="B173">TranslateFromLiteral(tab\Objects[[#This Row],[Object]])</f>
        <v>01316007083</v>
      </c>
    </row>
    <row r="174" spans="1:2" x14ac:dyDescent="0.3">
      <c r="A174" s="2" t="s">
        <v>617</v>
      </c>
      <c r="B174" s="2" t="str" cm="1">
        <f t="array" ref="B174">TranslateFromLiteral(tab\Objects[[#This Row],[Object]])</f>
        <v>01415</v>
      </c>
    </row>
    <row r="175" spans="1:2" x14ac:dyDescent="0.3">
      <c r="A175" s="2" t="s">
        <v>629</v>
      </c>
      <c r="B175" s="2" t="str" cm="1">
        <f t="array" ref="B175">TranslateFromLiteral(tab\Objects[[#This Row],[Object]])</f>
        <v>0512</v>
      </c>
    </row>
    <row r="176" spans="1:2" x14ac:dyDescent="0.3">
      <c r="A176" s="2" t="s">
        <v>277</v>
      </c>
      <c r="B176" s="2" t="str" cm="1">
        <f t="array" ref="B176">TranslateFromLiteral(tab\Objects[[#This Row],[Object]])</f>
        <v>05041</v>
      </c>
    </row>
    <row r="177" spans="1:2" x14ac:dyDescent="0.3">
      <c r="A177" s="2" t="s">
        <v>720</v>
      </c>
      <c r="B177" s="2" t="str" cm="1">
        <f t="array" ref="B177">TranslateFromLiteral(tab\Objects[[#This Row],[Object]])</f>
        <v>11893</v>
      </c>
    </row>
    <row r="178" spans="1:2" x14ac:dyDescent="0.3">
      <c r="A178" s="2" t="s">
        <v>721</v>
      </c>
      <c r="B178" s="2" t="str" cm="1">
        <f t="array" ref="B178">TranslateFromLiteral(tab\Objects[[#This Row],[Object]])</f>
        <v>131758</v>
      </c>
    </row>
    <row r="179" spans="1:2" x14ac:dyDescent="0.3">
      <c r="A179" s="2" t="s">
        <v>86</v>
      </c>
      <c r="B179" s="2" t="str" cm="1">
        <f t="array" ref="B179">TranslateFromLiteral(tab\Objects[[#This Row],[Object]])</f>
        <v>13108002</v>
      </c>
    </row>
    <row r="180" spans="1:2" x14ac:dyDescent="0.3">
      <c r="A180" s="2" t="s">
        <v>56</v>
      </c>
      <c r="B180" s="2" t="str" cm="1">
        <f t="array" ref="B180">TranslateFromLiteral(tab\Objects[[#This Row],[Object]])</f>
        <v>13316</v>
      </c>
    </row>
    <row r="181" spans="1:2" x14ac:dyDescent="0.3">
      <c r="A181" s="2" t="s">
        <v>576</v>
      </c>
      <c r="B181" s="2" t="str" cm="1">
        <f t="array" ref="B181">TranslateFromLiteral(tab\Objects[[#This Row],[Object]])</f>
        <v>132270?8199</v>
      </c>
    </row>
    <row r="182" spans="1:2" x14ac:dyDescent="0.3">
      <c r="A182" s="2" t="s">
        <v>607</v>
      </c>
      <c r="B182" s="2" t="str" cm="1">
        <f t="array" ref="B182">TranslateFromLiteral(tab\Objects[[#This Row],[Object]])</f>
        <v>132270?417731</v>
      </c>
    </row>
    <row r="183" spans="1:2" x14ac:dyDescent="0.3">
      <c r="A183" s="2" t="s">
        <v>635</v>
      </c>
      <c r="B183" s="2" t="str" cm="1">
        <f t="array" ref="B183">TranslateFromLiteral(tab\Objects[[#This Row],[Object]])</f>
        <v>164311</v>
      </c>
    </row>
    <row r="184" spans="1:2" x14ac:dyDescent="0.3">
      <c r="A184" s="2" t="s">
        <v>722</v>
      </c>
      <c r="B184" s="2" t="str" cm="1">
        <f t="array" ref="B184">TranslateFromLiteral(tab\Objects[[#This Row],[Object]])</f>
        <v>177731</v>
      </c>
    </row>
    <row r="185" spans="1:2" x14ac:dyDescent="0.3">
      <c r="A185" s="2" t="s">
        <v>87</v>
      </c>
      <c r="B185" s="2" t="str" cm="1">
        <f t="array" ref="B185">TranslateFromLiteral(tab\Objects[[#This Row],[Object]])</f>
        <v>1011</v>
      </c>
    </row>
    <row r="186" spans="1:2" x14ac:dyDescent="0.3">
      <c r="A186" s="2" t="s">
        <v>93</v>
      </c>
      <c r="B186" s="2" t="str" cm="1">
        <f t="array" ref="B186">TranslateFromLiteral(tab\Objects[[#This Row],[Object]])</f>
        <v>103333</v>
      </c>
    </row>
    <row r="187" spans="1:2" x14ac:dyDescent="0.3">
      <c r="A187" s="2" t="s">
        <v>723</v>
      </c>
      <c r="B187" s="2" t="str" cm="1">
        <f t="array" ref="B187">TranslateFromLiteral(tab\Objects[[#This Row],[Object]])</f>
        <v>102110</v>
      </c>
    </row>
    <row r="188" spans="1:2" x14ac:dyDescent="0.3">
      <c r="A188" s="2" t="s">
        <v>724</v>
      </c>
      <c r="B188" s="2" t="str" cm="1">
        <f t="array" ref="B188">TranslateFromLiteral(tab\Objects[[#This Row],[Object]])</f>
        <v>10132</v>
      </c>
    </row>
    <row r="189" spans="1:2" x14ac:dyDescent="0.3">
      <c r="A189" s="2" t="s">
        <v>276</v>
      </c>
      <c r="B189" s="2" t="str" cm="1">
        <f t="array" ref="B189">TranslateFromLiteral(tab\Objects[[#This Row],[Object]])</f>
        <v>10539</v>
      </c>
    </row>
    <row r="190" spans="1:2" x14ac:dyDescent="0.3">
      <c r="A190" s="2" t="s">
        <v>725</v>
      </c>
      <c r="B190" s="2" t="str" cm="1">
        <f t="array" ref="B190">TranslateFromLiteral(tab\Objects[[#This Row],[Object]])</f>
        <v>1417104</v>
      </c>
    </row>
    <row r="191" spans="1:2" x14ac:dyDescent="0.3">
      <c r="A191" s="2" t="s">
        <v>726</v>
      </c>
      <c r="B191" s="2" t="str" cm="1">
        <f t="array" ref="B191">TranslateFromLiteral(tab\Objects[[#This Row],[Object]])</f>
        <v>140539</v>
      </c>
    </row>
    <row r="192" spans="1:2" x14ac:dyDescent="0.3">
      <c r="A192" s="2" t="s">
        <v>727</v>
      </c>
      <c r="B192" s="2" t="str" cm="1">
        <f t="array" ref="B192">TranslateFromLiteral(tab\Objects[[#This Row],[Object]])</f>
        <v>1452831</v>
      </c>
    </row>
    <row r="193" spans="1:2" x14ac:dyDescent="0.3">
      <c r="A193" s="2" t="s">
        <v>94</v>
      </c>
      <c r="B193" s="2" t="str" cm="1">
        <f t="array" ref="B193">TranslateFromLiteral(tab\Objects[[#This Row],[Object]])</f>
        <v>152239</v>
      </c>
    </row>
    <row r="194" spans="1:2" ht="28.8" x14ac:dyDescent="0.3">
      <c r="A194" s="2" t="s">
        <v>728</v>
      </c>
      <c r="B194" s="2" t="str" cm="1">
        <f t="array" ref="B194">TranslateFromLiteral(tab\Objects[[#This Row],[Object]])</f>
        <v>150?76344730?5716?1?9313</v>
      </c>
    </row>
    <row r="195" spans="1:2" x14ac:dyDescent="0.3">
      <c r="A195" s="2" t="s">
        <v>625</v>
      </c>
      <c r="B195" s="2" t="str" cm="1">
        <f t="array" ref="B195">TranslateFromLiteral(tab\Objects[[#This Row],[Object]])</f>
        <v>52843991</v>
      </c>
    </row>
    <row r="196" spans="1:2" x14ac:dyDescent="0.3">
      <c r="A196" s="2" t="s">
        <v>324</v>
      </c>
      <c r="B196" s="2" t="str" cm="1">
        <f t="array" ref="B196">TranslateFromLiteral(tab\Objects[[#This Row],[Object]])</f>
        <v>570972</v>
      </c>
    </row>
    <row r="197" spans="1:2" x14ac:dyDescent="0.3">
      <c r="A197" s="2" t="s">
        <v>609</v>
      </c>
      <c r="B197" s="2" t="str" cm="1">
        <f t="array" ref="B197">TranslateFromLiteral(tab\Objects[[#This Row],[Object]])</f>
        <v>5197723?01777</v>
      </c>
    </row>
    <row r="198" spans="1:2" x14ac:dyDescent="0.3">
      <c r="A198" s="2" t="s">
        <v>729</v>
      </c>
      <c r="B198" s="2" t="str" cm="1">
        <f t="array" ref="B198">TranslateFromLiteral(tab\Objects[[#This Row],[Object]])</f>
        <v>51134?8528</v>
      </c>
    </row>
    <row r="199" spans="1:2" x14ac:dyDescent="0.3">
      <c r="A199" s="2" t="s">
        <v>730</v>
      </c>
      <c r="B199" s="2" t="str" cm="1">
        <f t="array" ref="B199">TranslateFromLiteral(tab\Objects[[#This Row],[Object]])</f>
        <v>51134723?712</v>
      </c>
    </row>
    <row r="200" spans="1:2" x14ac:dyDescent="0.3">
      <c r="A200" s="2" t="s">
        <v>731</v>
      </c>
      <c r="B200" s="2" t="str" cm="1">
        <f t="array" ref="B200">TranslateFromLiteral(tab\Objects[[#This Row],[Object]])</f>
        <v>5373610</v>
      </c>
    </row>
    <row r="201" spans="1:2" x14ac:dyDescent="0.3">
      <c r="A201" s="2" t="s">
        <v>732</v>
      </c>
      <c r="B201" s="2" t="str" cm="1">
        <f t="array" ref="B201">TranslateFromLiteral(tab\Objects[[#This Row],[Object]])</f>
        <v>56339814405</v>
      </c>
    </row>
    <row r="202" spans="1:2" x14ac:dyDescent="0.3">
      <c r="A202" s="2" t="s">
        <v>613</v>
      </c>
      <c r="B202" s="2" t="str" cm="1">
        <f t="array" ref="B202">TranslateFromLiteral(tab\Objects[[#This Row],[Object]])</f>
        <v>5670193</v>
      </c>
    </row>
    <row r="203" spans="1:2" x14ac:dyDescent="0.3">
      <c r="A203" s="2" t="s">
        <v>733</v>
      </c>
      <c r="B203" s="2" t="str" cm="1">
        <f t="array" ref="B203">TranslateFromLiteral(tab\Objects[[#This Row],[Object]])</f>
        <v>50212?14300</v>
      </c>
    </row>
    <row r="204" spans="1:2" x14ac:dyDescent="0.3">
      <c r="A204" s="2" t="s">
        <v>631</v>
      </c>
      <c r="B204" s="2" t="str" cm="1">
        <f t="array" ref="B204">TranslateFromLiteral(tab\Objects[[#This Row],[Object]])</f>
        <v>5001837734</v>
      </c>
    </row>
    <row r="205" spans="1:2" x14ac:dyDescent="0.3">
      <c r="A205" s="2" t="s">
        <v>734</v>
      </c>
      <c r="B205" s="2" t="str" cm="1">
        <f t="array" ref="B205">TranslateFromLiteral(tab\Objects[[#This Row],[Object]])</f>
        <v>972?9123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F8382-CE77-474C-834D-0530C6463CCD}">
  <sheetPr>
    <tabColor theme="0" tint="-0.499984740745262"/>
  </sheetPr>
  <dimension ref="A1:I60"/>
  <sheetViews>
    <sheetView zoomScale="108" workbookViewId="0">
      <selection activeCell="K8" sqref="K8"/>
    </sheetView>
  </sheetViews>
  <sheetFormatPr defaultRowHeight="14.4" x14ac:dyDescent="0.3"/>
  <cols>
    <col min="3" max="3" width="16.109375" customWidth="1"/>
    <col min="4" max="4" width="19.21875" style="31" customWidth="1"/>
    <col min="5" max="5" width="26.33203125" customWidth="1"/>
    <col min="6" max="6" width="18.88671875" customWidth="1"/>
    <col min="7" max="7" width="15.88671875" customWidth="1"/>
    <col min="8" max="8" width="9.77734375" customWidth="1"/>
    <col min="9" max="9" width="10.6640625" style="3" customWidth="1"/>
    <col min="10" max="10" width="9.44140625" customWidth="1"/>
  </cols>
  <sheetData>
    <row r="1" spans="1:9" ht="28.8" x14ac:dyDescent="0.3">
      <c r="A1" s="37" t="s">
        <v>1169</v>
      </c>
      <c r="B1" s="37" t="s">
        <v>1170</v>
      </c>
      <c r="C1" s="37" t="s">
        <v>1171</v>
      </c>
      <c r="D1" s="41" t="s">
        <v>799</v>
      </c>
      <c r="E1" s="37" t="s">
        <v>1248</v>
      </c>
      <c r="F1" s="37" t="s">
        <v>1173</v>
      </c>
      <c r="G1" s="37" t="s">
        <v>1174</v>
      </c>
      <c r="H1" s="37" t="s">
        <v>1172</v>
      </c>
      <c r="I1"/>
    </row>
    <row r="2" spans="1:9" x14ac:dyDescent="0.3">
      <c r="A2" s="38" t="s">
        <v>1175</v>
      </c>
      <c r="B2" s="38" t="s">
        <v>1177</v>
      </c>
      <c r="C2" s="39" t="s">
        <v>1176</v>
      </c>
      <c r="D2" s="42" t="s">
        <v>807</v>
      </c>
      <c r="E2" s="39"/>
      <c r="F2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=INDEX(tab\CFG[Value];MATCH("rng\Objects";tab\CFG[Key];0)):INDEX(tab\CFG[Value];MATCH("rng\Objects";tab\CFG[Key];0)+COUNTIF(tab\CFG[Key];"rng\Objects")-1)</v>
      </c>
      <c r="G2" s="39" t="str">
        <f>"=FILTER(tab\CFG[Value];tab\CFG[Key]="""&amp;tab\CFG[[#This Row],[Key]]&amp;""")"</f>
        <v>=FILTER(tab\CFG[Value];tab\CFG[Key]="rng\Objects")</v>
      </c>
      <c r="H2" s="38">
        <v>1</v>
      </c>
      <c r="I2"/>
    </row>
    <row r="3" spans="1:9" x14ac:dyDescent="0.3">
      <c r="A3" s="38" t="s">
        <v>1190</v>
      </c>
      <c r="B3" s="39"/>
      <c r="C3" s="39" t="s">
        <v>1176</v>
      </c>
      <c r="D3" s="43" t="s">
        <v>832</v>
      </c>
      <c r="E3" s="39"/>
      <c r="F3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=INDEX(tab\CFG[Value];MATCH("rng\Objects";tab\CFG[Key];0)):INDEX(tab\CFG[Value];MATCH("rng\Objects";tab\CFG[Key];0)+COUNTIF(tab\CFG[Key];"rng\Objects")-1)</v>
      </c>
      <c r="G3" s="39" t="str">
        <f>"=FILTER(tab\CFG[Value];tab\CFG[Key]="""&amp;tab\CFG[[#This Row],[Key]]&amp;""")"</f>
        <v>=FILTER(tab\CFG[Value];tab\CFG[Key]="rng\Objects")</v>
      </c>
      <c r="H3" s="38">
        <v>2</v>
      </c>
      <c r="I3"/>
    </row>
    <row r="4" spans="1:9" x14ac:dyDescent="0.3">
      <c r="A4" s="38" t="s">
        <v>1191</v>
      </c>
      <c r="B4" s="39"/>
      <c r="C4" s="39" t="s">
        <v>1176</v>
      </c>
      <c r="D4" s="43" t="s">
        <v>839</v>
      </c>
      <c r="E4" s="39"/>
      <c r="F4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=INDEX(tab\CFG[Value];MATCH("rng\Objects";tab\CFG[Key];0)):INDEX(tab\CFG[Value];MATCH("rng\Objects";tab\CFG[Key];0)+COUNTIF(tab\CFG[Key];"rng\Objects")-1)</v>
      </c>
      <c r="G4" s="39" t="str">
        <f>"=FILTER(tab\CFG[Value];tab\CFG[Key]="""&amp;tab\CFG[[#This Row],[Key]]&amp;""")"</f>
        <v>=FILTER(tab\CFG[Value];tab\CFG[Key]="rng\Objects")</v>
      </c>
      <c r="H4" s="38">
        <v>3</v>
      </c>
      <c r="I4"/>
    </row>
    <row r="5" spans="1:9" x14ac:dyDescent="0.3">
      <c r="A5" s="38" t="s">
        <v>1192</v>
      </c>
      <c r="B5" s="39"/>
      <c r="C5" s="39" t="s">
        <v>1176</v>
      </c>
      <c r="D5" s="43" t="s">
        <v>840</v>
      </c>
      <c r="E5" s="39"/>
      <c r="F5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=INDEX(tab\CFG[Value];MATCH("rng\Objects";tab\CFG[Key];0)):INDEX(tab\CFG[Value];MATCH("rng\Objects";tab\CFG[Key];0)+COUNTIF(tab\CFG[Key];"rng\Objects")-1)</v>
      </c>
      <c r="G5" s="39" t="str">
        <f>"=FILTER(tab\CFG[Value];tab\CFG[Key]="""&amp;tab\CFG[[#This Row],[Key]]&amp;""")"</f>
        <v>=FILTER(tab\CFG[Value];tab\CFG[Key]="rng\Objects")</v>
      </c>
      <c r="H5" s="38">
        <v>4</v>
      </c>
      <c r="I5"/>
    </row>
    <row r="6" spans="1:9" x14ac:dyDescent="0.3">
      <c r="A6" s="38" t="s">
        <v>1193</v>
      </c>
      <c r="B6" s="39"/>
      <c r="C6" s="39" t="s">
        <v>1176</v>
      </c>
      <c r="D6" s="43" t="s">
        <v>802</v>
      </c>
      <c r="E6" s="39"/>
      <c r="F6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=INDEX(tab\CFG[Value];MATCH("rng\Objects";tab\CFG[Key];0)):INDEX(tab\CFG[Value];MATCH("rng\Objects";tab\CFG[Key];0)+COUNTIF(tab\CFG[Key];"rng\Objects")-1)</v>
      </c>
      <c r="G6" s="39" t="str">
        <f>"=FILTER(tab\CFG[Value];tab\CFG[Key]="""&amp;tab\CFG[[#This Row],[Key]]&amp;""")"</f>
        <v>=FILTER(tab\CFG[Value];tab\CFG[Key]="rng\Objects")</v>
      </c>
      <c r="H6" s="38">
        <v>5</v>
      </c>
      <c r="I6"/>
    </row>
    <row r="7" spans="1:9" x14ac:dyDescent="0.3">
      <c r="A7" s="38" t="s">
        <v>1194</v>
      </c>
      <c r="B7" s="39"/>
      <c r="C7" s="39" t="s">
        <v>1176</v>
      </c>
      <c r="D7" s="43" t="s">
        <v>805</v>
      </c>
      <c r="E7" s="39"/>
      <c r="F7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=INDEX(tab\CFG[Value];MATCH("rng\Objects";tab\CFG[Key];0)):INDEX(tab\CFG[Value];MATCH("rng\Objects";tab\CFG[Key];0)+COUNTIF(tab\CFG[Key];"rng\Objects")-1)</v>
      </c>
      <c r="G7" s="39" t="str">
        <f>"=FILTER(tab\CFG[Value];tab\CFG[Key]="""&amp;tab\CFG[[#This Row],[Key]]&amp;""")"</f>
        <v>=FILTER(tab\CFG[Value];tab\CFG[Key]="rng\Objects")</v>
      </c>
      <c r="H7" s="38">
        <v>6</v>
      </c>
      <c r="I7"/>
    </row>
    <row r="8" spans="1:9" x14ac:dyDescent="0.3">
      <c r="A8" s="38" t="s">
        <v>1195</v>
      </c>
      <c r="B8" s="39"/>
      <c r="C8" s="39" t="s">
        <v>1176</v>
      </c>
      <c r="D8" s="43" t="s">
        <v>815</v>
      </c>
      <c r="E8" s="39"/>
      <c r="F8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=INDEX(tab\CFG[Value];MATCH("rng\Objects";tab\CFG[Key];0)):INDEX(tab\CFG[Value];MATCH("rng\Objects";tab\CFG[Key];0)+COUNTIF(tab\CFG[Key];"rng\Objects")-1)</v>
      </c>
      <c r="G8" s="39" t="str">
        <f>"=FILTER(tab\CFG[Value];tab\CFG[Key]="""&amp;tab\CFG[[#This Row],[Key]]&amp;""")"</f>
        <v>=FILTER(tab\CFG[Value];tab\CFG[Key]="rng\Objects")</v>
      </c>
      <c r="H8" s="38">
        <v>7</v>
      </c>
      <c r="I8"/>
    </row>
    <row r="9" spans="1:9" x14ac:dyDescent="0.3">
      <c r="A9" s="38" t="s">
        <v>1196</v>
      </c>
      <c r="B9" s="39"/>
      <c r="C9" s="39" t="s">
        <v>1176</v>
      </c>
      <c r="D9" s="43" t="s">
        <v>806</v>
      </c>
      <c r="E9" s="39"/>
      <c r="F9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=INDEX(tab\CFG[Value];MATCH("rng\Objects";tab\CFG[Key];0)):INDEX(tab\CFG[Value];MATCH("rng\Objects";tab\CFG[Key];0)+COUNTIF(tab\CFG[Key];"rng\Objects")-1)</v>
      </c>
      <c r="G9" s="39" t="str">
        <f>"=FILTER(tab\CFG[Value];tab\CFG[Key]="""&amp;tab\CFG[[#This Row],[Key]]&amp;""")"</f>
        <v>=FILTER(tab\CFG[Value];tab\CFG[Key]="rng\Objects")</v>
      </c>
      <c r="H9" s="38">
        <v>8</v>
      </c>
      <c r="I9"/>
    </row>
    <row r="10" spans="1:9" x14ac:dyDescent="0.3">
      <c r="A10" s="38" t="s">
        <v>1197</v>
      </c>
      <c r="B10" s="39"/>
      <c r="C10" s="39" t="s">
        <v>1176</v>
      </c>
      <c r="D10" s="43" t="s">
        <v>800</v>
      </c>
      <c r="E10" s="39"/>
      <c r="F10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=INDEX(tab\CFG[Value];MATCH("rng\Objects";tab\CFG[Key];0)):INDEX(tab\CFG[Value];MATCH("rng\Objects";tab\CFG[Key];0)+COUNTIF(tab\CFG[Key];"rng\Objects")-1)</v>
      </c>
      <c r="G10" s="39" t="str">
        <f>"=FILTER(tab\CFG[Value];tab\CFG[Key]="""&amp;tab\CFG[[#This Row],[Key]]&amp;""")"</f>
        <v>=FILTER(tab\CFG[Value];tab\CFG[Key]="rng\Objects")</v>
      </c>
      <c r="H10" s="38">
        <v>9</v>
      </c>
      <c r="I10"/>
    </row>
    <row r="11" spans="1:9" x14ac:dyDescent="0.3">
      <c r="A11" s="38" t="s">
        <v>1198</v>
      </c>
      <c r="B11" s="39"/>
      <c r="C11" s="39" t="s">
        <v>1176</v>
      </c>
      <c r="D11" s="43" t="s">
        <v>804</v>
      </c>
      <c r="E11" s="39"/>
      <c r="F11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=INDEX(tab\CFG[Value];MATCH("rng\Objects";tab\CFG[Key];0)):INDEX(tab\CFG[Value];MATCH("rng\Objects";tab\CFG[Key];0)+COUNTIF(tab\CFG[Key];"rng\Objects")-1)</v>
      </c>
      <c r="G11" s="39" t="str">
        <f>"=FILTER(tab\CFG[Value];tab\CFG[Key]="""&amp;tab\CFG[[#This Row],[Key]]&amp;""")"</f>
        <v>=FILTER(tab\CFG[Value];tab\CFG[Key]="rng\Objects")</v>
      </c>
      <c r="H11" s="38">
        <v>10</v>
      </c>
      <c r="I11"/>
    </row>
    <row r="12" spans="1:9" x14ac:dyDescent="0.3">
      <c r="A12" s="38" t="s">
        <v>1199</v>
      </c>
      <c r="B12" s="39"/>
      <c r="C12" s="39" t="s">
        <v>1176</v>
      </c>
      <c r="D12" s="43" t="s">
        <v>803</v>
      </c>
      <c r="E12" s="39"/>
      <c r="F12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=INDEX(tab\CFG[Value];MATCH("rng\Objects";tab\CFG[Key];0)):INDEX(tab\CFG[Value];MATCH("rng\Objects";tab\CFG[Key];0)+COUNTIF(tab\CFG[Key];"rng\Objects")-1)</v>
      </c>
      <c r="G12" s="39" t="str">
        <f>"=FILTER(tab\CFG[Value];tab\CFG[Key]="""&amp;tab\CFG[[#This Row],[Key]]&amp;""")"</f>
        <v>=FILTER(tab\CFG[Value];tab\CFG[Key]="rng\Objects")</v>
      </c>
      <c r="H12" s="38">
        <v>11</v>
      </c>
      <c r="I12"/>
    </row>
    <row r="13" spans="1:9" x14ac:dyDescent="0.3">
      <c r="A13" s="38" t="s">
        <v>1200</v>
      </c>
      <c r="B13" s="39"/>
      <c r="C13" s="39" t="s">
        <v>1176</v>
      </c>
      <c r="D13" s="43" t="s">
        <v>801</v>
      </c>
      <c r="E13" s="39"/>
      <c r="F13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=INDEX(tab\CFG[Value];MATCH("rng\Objects";tab\CFG[Key];0)):INDEX(tab\CFG[Value];MATCH("rng\Objects";tab\CFG[Key];0)+COUNTIF(tab\CFG[Key];"rng\Objects")-1)</v>
      </c>
      <c r="G13" s="39" t="str">
        <f>"=FILTER(tab\CFG[Value];tab\CFG[Key]="""&amp;tab\CFG[[#This Row],[Key]]&amp;""")"</f>
        <v>=FILTER(tab\CFG[Value];tab\CFG[Key]="rng\Objects")</v>
      </c>
      <c r="H13" s="38">
        <v>12</v>
      </c>
      <c r="I13"/>
    </row>
    <row r="14" spans="1:9" x14ac:dyDescent="0.3">
      <c r="A14" s="38" t="s">
        <v>1201</v>
      </c>
      <c r="B14" s="39"/>
      <c r="C14" s="39" t="s">
        <v>1176</v>
      </c>
      <c r="D14" s="43" t="s">
        <v>836</v>
      </c>
      <c r="E14" s="39"/>
      <c r="F14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=INDEX(tab\CFG[Value];MATCH("rng\Objects";tab\CFG[Key];0)):INDEX(tab\CFG[Value];MATCH("rng\Objects";tab\CFG[Key];0)+COUNTIF(tab\CFG[Key];"rng\Objects")-1)</v>
      </c>
      <c r="G14" s="39" t="str">
        <f>"=FILTER(tab\CFG[Value];tab\CFG[Key]="""&amp;tab\CFG[[#This Row],[Key]]&amp;""")"</f>
        <v>=FILTER(tab\CFG[Value];tab\CFG[Key]="rng\Objects")</v>
      </c>
      <c r="H14" s="38">
        <v>13</v>
      </c>
      <c r="I14"/>
    </row>
    <row r="15" spans="1:9" x14ac:dyDescent="0.3">
      <c r="A15" s="38" t="s">
        <v>1202</v>
      </c>
      <c r="B15" s="39"/>
      <c r="C15" s="39" t="s">
        <v>1176</v>
      </c>
      <c r="D15" s="43" t="s">
        <v>838</v>
      </c>
      <c r="E15" s="39"/>
      <c r="F15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=INDEX(tab\CFG[Value];MATCH("rng\Objects";tab\CFG[Key];0)):INDEX(tab\CFG[Value];MATCH("rng\Objects";tab\CFG[Key];0)+COUNTIF(tab\CFG[Key];"rng\Objects")-1)</v>
      </c>
      <c r="G15" s="39" t="str">
        <f>"=FILTER(tab\CFG[Value];tab\CFG[Key]="""&amp;tab\CFG[[#This Row],[Key]]&amp;""")"</f>
        <v>=FILTER(tab\CFG[Value];tab\CFG[Key]="rng\Objects")</v>
      </c>
      <c r="H15" s="38">
        <v>14</v>
      </c>
      <c r="I15"/>
    </row>
    <row r="16" spans="1:9" x14ac:dyDescent="0.3">
      <c r="A16" s="38" t="s">
        <v>1203</v>
      </c>
      <c r="B16" s="38" t="s">
        <v>1180</v>
      </c>
      <c r="C16" s="39" t="s">
        <v>1178</v>
      </c>
      <c r="D16" s="43" t="s">
        <v>330</v>
      </c>
      <c r="E16" s="39"/>
      <c r="F16" s="39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=INDEX(tab\CFG[Value];MATCH("rng\Actions";tab\CFG[Key];0)):INDEX(tab\CFG[Value];MATCH("rng\Actions";tab\CFG[Key];0)+COUNTIF(tab\CFG[Key];"rng\Actions")-1)</v>
      </c>
      <c r="G16" s="39" t="str">
        <f>"=FILTER(tab\CFG[Value];tab\CFG[Key]="""&amp;tab\CFG[[#This Row],[Key]]&amp;""")"</f>
        <v>=FILTER(tab\CFG[Value];tab\CFG[Key]="rng\Actions")</v>
      </c>
      <c r="H16" s="38">
        <v>1</v>
      </c>
      <c r="I16"/>
    </row>
    <row r="17" spans="1:9" x14ac:dyDescent="0.3">
      <c r="A17" s="38" t="s">
        <v>1204</v>
      </c>
      <c r="B17" s="36"/>
      <c r="C17" s="39" t="s">
        <v>1178</v>
      </c>
      <c r="D17" s="44" t="s">
        <v>808</v>
      </c>
      <c r="E17" s="36"/>
      <c r="F17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=INDEX(tab\CFG[Value];MATCH("rng\Actions";tab\CFG[Key];0)):INDEX(tab\CFG[Value];MATCH("rng\Actions";tab\CFG[Key];0)+COUNTIF(tab\CFG[Key];"rng\Actions")-1)</v>
      </c>
      <c r="G17" s="36" t="str">
        <f>"=FILTER(tab\CFG[Value];tab\CFG[Key]="""&amp;tab\CFG[[#This Row],[Key]]&amp;""")"</f>
        <v>=FILTER(tab\CFG[Value];tab\CFG[Key]="rng\Actions")</v>
      </c>
      <c r="H17" s="38">
        <v>2</v>
      </c>
      <c r="I17"/>
    </row>
    <row r="18" spans="1:9" x14ac:dyDescent="0.3">
      <c r="A18" s="38" t="s">
        <v>1205</v>
      </c>
      <c r="B18" s="36"/>
      <c r="C18" s="39" t="s">
        <v>1178</v>
      </c>
      <c r="D18" s="44" t="s">
        <v>809</v>
      </c>
      <c r="E18" s="36"/>
      <c r="F18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=INDEX(tab\CFG[Value];MATCH("rng\Actions";tab\CFG[Key];0)):INDEX(tab\CFG[Value];MATCH("rng\Actions";tab\CFG[Key];0)+COUNTIF(tab\CFG[Key];"rng\Actions")-1)</v>
      </c>
      <c r="G18" s="36" t="str">
        <f>"=FILTER(tab\CFG[Value];tab\CFG[Key]="""&amp;tab\CFG[[#This Row],[Key]]&amp;""")"</f>
        <v>=FILTER(tab\CFG[Value];tab\CFG[Key]="rng\Actions")</v>
      </c>
      <c r="H18" s="38">
        <v>3</v>
      </c>
      <c r="I18"/>
    </row>
    <row r="19" spans="1:9" x14ac:dyDescent="0.3">
      <c r="A19" s="38" t="s">
        <v>1206</v>
      </c>
      <c r="B19" s="36"/>
      <c r="C19" s="39" t="s">
        <v>1178</v>
      </c>
      <c r="D19" s="44" t="s">
        <v>810</v>
      </c>
      <c r="E19" s="36"/>
      <c r="F19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=INDEX(tab\CFG[Value];MATCH("rng\Actions";tab\CFG[Key];0)):INDEX(tab\CFG[Value];MATCH("rng\Actions";tab\CFG[Key];0)+COUNTIF(tab\CFG[Key];"rng\Actions")-1)</v>
      </c>
      <c r="G19" s="36" t="str">
        <f>"=FILTER(tab\CFG[Value];tab\CFG[Key]="""&amp;tab\CFG[[#This Row],[Key]]&amp;""")"</f>
        <v>=FILTER(tab\CFG[Value];tab\CFG[Key]="rng\Actions")</v>
      </c>
      <c r="H19" s="38">
        <v>4</v>
      </c>
      <c r="I19"/>
    </row>
    <row r="20" spans="1:9" x14ac:dyDescent="0.3">
      <c r="A20" s="38" t="s">
        <v>1207</v>
      </c>
      <c r="B20" s="36"/>
      <c r="C20" s="39" t="s">
        <v>1178</v>
      </c>
      <c r="D20" s="44" t="s">
        <v>811</v>
      </c>
      <c r="E20" s="36"/>
      <c r="F20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=INDEX(tab\CFG[Value];MATCH("rng\Actions";tab\CFG[Key];0)):INDEX(tab\CFG[Value];MATCH("rng\Actions";tab\CFG[Key];0)+COUNTIF(tab\CFG[Key];"rng\Actions")-1)</v>
      </c>
      <c r="G20" s="36" t="str">
        <f>"=FILTER(tab\CFG[Value];tab\CFG[Key]="""&amp;tab\CFG[[#This Row],[Key]]&amp;""")"</f>
        <v>=FILTER(tab\CFG[Value];tab\CFG[Key]="rng\Actions")</v>
      </c>
      <c r="H20" s="38">
        <v>5</v>
      </c>
      <c r="I20"/>
    </row>
    <row r="21" spans="1:9" x14ac:dyDescent="0.3">
      <c r="A21" s="38" t="s">
        <v>1208</v>
      </c>
      <c r="B21" s="36"/>
      <c r="C21" s="39" t="s">
        <v>1178</v>
      </c>
      <c r="D21" s="44" t="s">
        <v>812</v>
      </c>
      <c r="E21" s="36"/>
      <c r="F21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=INDEX(tab\CFG[Value];MATCH("rng\Actions";tab\CFG[Key];0)):INDEX(tab\CFG[Value];MATCH("rng\Actions";tab\CFG[Key];0)+COUNTIF(tab\CFG[Key];"rng\Actions")-1)</v>
      </c>
      <c r="G21" s="36" t="str">
        <f>"=FILTER(tab\CFG[Value];tab\CFG[Key]="""&amp;tab\CFG[[#This Row],[Key]]&amp;""")"</f>
        <v>=FILTER(tab\CFG[Value];tab\CFG[Key]="rng\Actions")</v>
      </c>
      <c r="H21" s="38">
        <v>6</v>
      </c>
      <c r="I21"/>
    </row>
    <row r="22" spans="1:9" x14ac:dyDescent="0.3">
      <c r="A22" s="38" t="s">
        <v>1209</v>
      </c>
      <c r="B22" s="36"/>
      <c r="C22" s="39" t="s">
        <v>1178</v>
      </c>
      <c r="D22" s="44" t="s">
        <v>841</v>
      </c>
      <c r="E22" s="36"/>
      <c r="F22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=INDEX(tab\CFG[Value];MATCH("rng\Actions";tab\CFG[Key];0)):INDEX(tab\CFG[Value];MATCH("rng\Actions";tab\CFG[Key];0)+COUNTIF(tab\CFG[Key];"rng\Actions")-1)</v>
      </c>
      <c r="G22" s="36" t="str">
        <f>"=FILTER(tab\CFG[Value];tab\CFG[Key]="""&amp;tab\CFG[[#This Row],[Key]]&amp;""")"</f>
        <v>=FILTER(tab\CFG[Value];tab\CFG[Key]="rng\Actions")</v>
      </c>
      <c r="H22" s="38">
        <v>7</v>
      </c>
      <c r="I22"/>
    </row>
    <row r="23" spans="1:9" x14ac:dyDescent="0.3">
      <c r="A23" s="38" t="s">
        <v>1210</v>
      </c>
      <c r="B23" s="36"/>
      <c r="C23" s="39" t="s">
        <v>1178</v>
      </c>
      <c r="D23" s="44" t="s">
        <v>813</v>
      </c>
      <c r="E23" s="36"/>
      <c r="F23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=INDEX(tab\CFG[Value];MATCH("rng\Actions";tab\CFG[Key];0)):INDEX(tab\CFG[Value];MATCH("rng\Actions";tab\CFG[Key];0)+COUNTIF(tab\CFG[Key];"rng\Actions")-1)</v>
      </c>
      <c r="G23" s="36" t="str">
        <f>"=FILTER(tab\CFG[Value];tab\CFG[Key]="""&amp;tab\CFG[[#This Row],[Key]]&amp;""")"</f>
        <v>=FILTER(tab\CFG[Value];tab\CFG[Key]="rng\Actions")</v>
      </c>
      <c r="H23" s="38">
        <v>8</v>
      </c>
      <c r="I23"/>
    </row>
    <row r="24" spans="1:9" x14ac:dyDescent="0.3">
      <c r="A24" s="38" t="s">
        <v>1211</v>
      </c>
      <c r="B24" s="36"/>
      <c r="C24" s="39" t="s">
        <v>1178</v>
      </c>
      <c r="D24" s="44" t="s">
        <v>814</v>
      </c>
      <c r="E24" s="36"/>
      <c r="F24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=INDEX(tab\CFG[Value];MATCH("rng\Actions";tab\CFG[Key];0)):INDEX(tab\CFG[Value];MATCH("rng\Actions";tab\CFG[Key];0)+COUNTIF(tab\CFG[Key];"rng\Actions")-1)</v>
      </c>
      <c r="G24" s="36" t="str">
        <f>"=FILTER(tab\CFG[Value];tab\CFG[Key]="""&amp;tab\CFG[[#This Row],[Key]]&amp;""")"</f>
        <v>=FILTER(tab\CFG[Value];tab\CFG[Key]="rng\Actions")</v>
      </c>
      <c r="H24" s="38">
        <v>9</v>
      </c>
      <c r="I24"/>
    </row>
    <row r="25" spans="1:9" x14ac:dyDescent="0.3">
      <c r="A25" s="38" t="s">
        <v>1212</v>
      </c>
      <c r="B25" s="38" t="s">
        <v>1181</v>
      </c>
      <c r="C25" s="36" t="s">
        <v>1179</v>
      </c>
      <c r="D25" s="44" t="s">
        <v>361</v>
      </c>
      <c r="E25" s="36"/>
      <c r="F25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=INDEX(tab\CFG[Value];MATCH("rng\Persons";tab\CFG[Key];0)):INDEX(tab\CFG[Value];MATCH("rng\Persons";tab\CFG[Key];0)+COUNTIF(tab\CFG[Key];"rng\Persons")-1)</v>
      </c>
      <c r="G25" s="36" t="str">
        <f>"=FILTER(tab\CFG[Value];tab\CFG[Key]="""&amp;tab\CFG[[#This Row],[Key]]&amp;""")"</f>
        <v>=FILTER(tab\CFG[Value];tab\CFG[Key]="rng\Persons")</v>
      </c>
      <c r="H25" s="40">
        <v>1</v>
      </c>
      <c r="I25"/>
    </row>
    <row r="26" spans="1:9" x14ac:dyDescent="0.3">
      <c r="A26" s="38" t="s">
        <v>1213</v>
      </c>
      <c r="B26" s="36"/>
      <c r="C26" s="36" t="s">
        <v>1179</v>
      </c>
      <c r="D26" s="44" t="s">
        <v>2</v>
      </c>
      <c r="E26" s="36"/>
      <c r="F26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=INDEX(tab\CFG[Value];MATCH("rng\Persons";tab\CFG[Key];0)):INDEX(tab\CFG[Value];MATCH("rng\Persons";tab\CFG[Key];0)+COUNTIF(tab\CFG[Key];"rng\Persons")-1)</v>
      </c>
      <c r="G26" s="36" t="str">
        <f>"=FILTER(tab\CFG[Value];tab\CFG[Key]="""&amp;tab\CFG[[#This Row],[Key]]&amp;""")"</f>
        <v>=FILTER(tab\CFG[Value];tab\CFG[Key]="rng\Persons")</v>
      </c>
      <c r="H26" s="40">
        <v>2</v>
      </c>
      <c r="I26"/>
    </row>
    <row r="27" spans="1:9" x14ac:dyDescent="0.3">
      <c r="A27" s="38" t="s">
        <v>1214</v>
      </c>
      <c r="B27" s="36"/>
      <c r="C27" s="36" t="s">
        <v>1179</v>
      </c>
      <c r="D27" s="44" t="s">
        <v>354</v>
      </c>
      <c r="E27" s="36"/>
      <c r="F27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=INDEX(tab\CFG[Value];MATCH("rng\Persons";tab\CFG[Key];0)):INDEX(tab\CFG[Value];MATCH("rng\Persons";tab\CFG[Key];0)+COUNTIF(tab\CFG[Key];"rng\Persons")-1)</v>
      </c>
      <c r="G27" s="36" t="str">
        <f>"=FILTER(tab\CFG[Value];tab\CFG[Key]="""&amp;tab\CFG[[#This Row],[Key]]&amp;""")"</f>
        <v>=FILTER(tab\CFG[Value];tab\CFG[Key]="rng\Persons")</v>
      </c>
      <c r="H27" s="40">
        <v>3</v>
      </c>
      <c r="I27"/>
    </row>
    <row r="28" spans="1:9" x14ac:dyDescent="0.3">
      <c r="A28" s="38" t="s">
        <v>1215</v>
      </c>
      <c r="B28" s="36"/>
      <c r="C28" s="36" t="s">
        <v>1179</v>
      </c>
      <c r="D28" s="44" t="s">
        <v>362</v>
      </c>
      <c r="E28" s="36"/>
      <c r="F28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=INDEX(tab\CFG[Value];MATCH("rng\Persons";tab\CFG[Key];0)):INDEX(tab\CFG[Value];MATCH("rng\Persons";tab\CFG[Key];0)+COUNTIF(tab\CFG[Key];"rng\Persons")-1)</v>
      </c>
      <c r="G28" s="36" t="str">
        <f>"=FILTER(tab\CFG[Value];tab\CFG[Key]="""&amp;tab\CFG[[#This Row],[Key]]&amp;""")"</f>
        <v>=FILTER(tab\CFG[Value];tab\CFG[Key]="rng\Persons")</v>
      </c>
      <c r="H28" s="40">
        <v>4</v>
      </c>
      <c r="I28"/>
    </row>
    <row r="29" spans="1:9" x14ac:dyDescent="0.3">
      <c r="A29" s="38" t="s">
        <v>1216</v>
      </c>
      <c r="B29" s="36"/>
      <c r="C29" s="36" t="s">
        <v>1179</v>
      </c>
      <c r="D29" s="44" t="s">
        <v>360</v>
      </c>
      <c r="E29" s="36"/>
      <c r="F29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=INDEX(tab\CFG[Value];MATCH("rng\Persons";tab\CFG[Key];0)):INDEX(tab\CFG[Value];MATCH("rng\Persons";tab\CFG[Key];0)+COUNTIF(tab\CFG[Key];"rng\Persons")-1)</v>
      </c>
      <c r="G29" s="36" t="str">
        <f>"=FILTER(tab\CFG[Value];tab\CFG[Key]="""&amp;tab\CFG[[#This Row],[Key]]&amp;""")"</f>
        <v>=FILTER(tab\CFG[Value];tab\CFG[Key]="rng\Persons")</v>
      </c>
      <c r="H29" s="40">
        <v>5</v>
      </c>
      <c r="I29"/>
    </row>
    <row r="30" spans="1:9" x14ac:dyDescent="0.3">
      <c r="A30" s="38" t="s">
        <v>1217</v>
      </c>
      <c r="B30" s="36"/>
      <c r="C30" s="36" t="s">
        <v>1179</v>
      </c>
      <c r="D30" s="44" t="s">
        <v>357</v>
      </c>
      <c r="E30" s="36"/>
      <c r="F30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=INDEX(tab\CFG[Value];MATCH("rng\Persons";tab\CFG[Key];0)):INDEX(tab\CFG[Value];MATCH("rng\Persons";tab\CFG[Key];0)+COUNTIF(tab\CFG[Key];"rng\Persons")-1)</v>
      </c>
      <c r="G30" s="36" t="str">
        <f>"=FILTER(tab\CFG[Value];tab\CFG[Key]="""&amp;tab\CFG[[#This Row],[Key]]&amp;""")"</f>
        <v>=FILTER(tab\CFG[Value];tab\CFG[Key]="rng\Persons")</v>
      </c>
      <c r="H30" s="40">
        <v>6</v>
      </c>
      <c r="I30"/>
    </row>
    <row r="31" spans="1:9" x14ac:dyDescent="0.3">
      <c r="A31" s="38" t="s">
        <v>1218</v>
      </c>
      <c r="B31" s="36"/>
      <c r="C31" s="36" t="s">
        <v>1179</v>
      </c>
      <c r="D31" s="44" t="s">
        <v>353</v>
      </c>
      <c r="E31" s="36"/>
      <c r="F31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=INDEX(tab\CFG[Value];MATCH("rng\Persons";tab\CFG[Key];0)):INDEX(tab\CFG[Value];MATCH("rng\Persons";tab\CFG[Key];0)+COUNTIF(tab\CFG[Key];"rng\Persons")-1)</v>
      </c>
      <c r="G31" s="36" t="str">
        <f>"=FILTER(tab\CFG[Value];tab\CFG[Key]="""&amp;tab\CFG[[#This Row],[Key]]&amp;""")"</f>
        <v>=FILTER(tab\CFG[Value];tab\CFG[Key]="rng\Persons")</v>
      </c>
      <c r="H31" s="40">
        <v>7</v>
      </c>
      <c r="I31"/>
    </row>
    <row r="32" spans="1:9" x14ac:dyDescent="0.3">
      <c r="A32" s="38" t="s">
        <v>1219</v>
      </c>
      <c r="B32" s="36"/>
      <c r="C32" s="36" t="s">
        <v>1179</v>
      </c>
      <c r="D32" s="44" t="s">
        <v>358</v>
      </c>
      <c r="E32" s="36"/>
      <c r="F32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=INDEX(tab\CFG[Value];MATCH("rng\Persons";tab\CFG[Key];0)):INDEX(tab\CFG[Value];MATCH("rng\Persons";tab\CFG[Key];0)+COUNTIF(tab\CFG[Key];"rng\Persons")-1)</v>
      </c>
      <c r="G32" s="36" t="str">
        <f>"=FILTER(tab\CFG[Value];tab\CFG[Key]="""&amp;tab\CFG[[#This Row],[Key]]&amp;""")"</f>
        <v>=FILTER(tab\CFG[Value];tab\CFG[Key]="rng\Persons")</v>
      </c>
      <c r="H32" s="40">
        <v>8</v>
      </c>
      <c r="I32"/>
    </row>
    <row r="33" spans="1:9" x14ac:dyDescent="0.3">
      <c r="A33" s="38" t="s">
        <v>1220</v>
      </c>
      <c r="B33" s="36"/>
      <c r="C33" s="36" t="s">
        <v>1179</v>
      </c>
      <c r="D33" s="44" t="s">
        <v>359</v>
      </c>
      <c r="E33" s="36"/>
      <c r="F33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=INDEX(tab\CFG[Value];MATCH("rng\Persons";tab\CFG[Key];0)):INDEX(tab\CFG[Value];MATCH("rng\Persons";tab\CFG[Key];0)+COUNTIF(tab\CFG[Key];"rng\Persons")-1)</v>
      </c>
      <c r="G33" s="36" t="str">
        <f>"=FILTER(tab\CFG[Value];tab\CFG[Key]="""&amp;tab\CFG[[#This Row],[Key]]&amp;""")"</f>
        <v>=FILTER(tab\CFG[Value];tab\CFG[Key]="rng\Persons")</v>
      </c>
      <c r="H33" s="40">
        <v>9</v>
      </c>
      <c r="I33"/>
    </row>
    <row r="34" spans="1:9" x14ac:dyDescent="0.3">
      <c r="A34" s="38" t="s">
        <v>1221</v>
      </c>
      <c r="B34" s="36"/>
      <c r="C34" s="36" t="s">
        <v>1179</v>
      </c>
      <c r="D34" s="44" t="s">
        <v>356</v>
      </c>
      <c r="E34" s="36"/>
      <c r="F34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=INDEX(tab\CFG[Value];MATCH("rng\Persons";tab\CFG[Key];0)):INDEX(tab\CFG[Value];MATCH("rng\Persons";tab\CFG[Key];0)+COUNTIF(tab\CFG[Key];"rng\Persons")-1)</v>
      </c>
      <c r="G34" s="36" t="str">
        <f>"=FILTER(tab\CFG[Value];tab\CFG[Key]="""&amp;tab\CFG[[#This Row],[Key]]&amp;""")"</f>
        <v>=FILTER(tab\CFG[Value];tab\CFG[Key]="rng\Persons")</v>
      </c>
      <c r="H34" s="40">
        <v>10</v>
      </c>
      <c r="I34"/>
    </row>
    <row r="35" spans="1:9" x14ac:dyDescent="0.3">
      <c r="A35" s="38" t="s">
        <v>1222</v>
      </c>
      <c r="B35" s="38" t="s">
        <v>1186</v>
      </c>
      <c r="C35" s="36" t="s">
        <v>1182</v>
      </c>
      <c r="D35" s="44" t="s">
        <v>816</v>
      </c>
      <c r="E35" s="36"/>
      <c r="F35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=INDEX(tab\CFG[Value];MATCH("rng\Locations";tab\CFG[Key];0)):INDEX(tab\CFG[Value];MATCH("rng\Locations";tab\CFG[Key];0)+COUNTIF(tab\CFG[Key];"rng\Locations")-1)</v>
      </c>
      <c r="G35" s="36" t="str">
        <f>"=FILTER(tab\CFG[Value];tab\CFG[Key]="""&amp;tab\CFG[[#This Row],[Key]]&amp;""")"</f>
        <v>=FILTER(tab\CFG[Value];tab\CFG[Key]="rng\Locations")</v>
      </c>
      <c r="H35" s="40">
        <v>1</v>
      </c>
      <c r="I35"/>
    </row>
    <row r="36" spans="1:9" x14ac:dyDescent="0.3">
      <c r="A36" s="38" t="s">
        <v>1223</v>
      </c>
      <c r="B36" s="36"/>
      <c r="C36" s="36" t="s">
        <v>1182</v>
      </c>
      <c r="D36" s="44" t="s">
        <v>817</v>
      </c>
      <c r="E36" s="36"/>
      <c r="F36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=INDEX(tab\CFG[Value];MATCH("rng\Locations";tab\CFG[Key];0)):INDEX(tab\CFG[Value];MATCH("rng\Locations";tab\CFG[Key];0)+COUNTIF(tab\CFG[Key];"rng\Locations")-1)</v>
      </c>
      <c r="G36" s="36" t="str">
        <f>"=FILTER(tab\CFG[Value];tab\CFG[Key]="""&amp;tab\CFG[[#This Row],[Key]]&amp;""")"</f>
        <v>=FILTER(tab\CFG[Value];tab\CFG[Key]="rng\Locations")</v>
      </c>
      <c r="H36" s="40">
        <v>2</v>
      </c>
      <c r="I36"/>
    </row>
    <row r="37" spans="1:9" x14ac:dyDescent="0.3">
      <c r="A37" s="38" t="s">
        <v>1224</v>
      </c>
      <c r="B37" s="36"/>
      <c r="C37" s="36" t="s">
        <v>1182</v>
      </c>
      <c r="D37" s="44" t="s">
        <v>818</v>
      </c>
      <c r="E37" s="36"/>
      <c r="F37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=INDEX(tab\CFG[Value];MATCH("rng\Locations";tab\CFG[Key];0)):INDEX(tab\CFG[Value];MATCH("rng\Locations";tab\CFG[Key];0)+COUNTIF(tab\CFG[Key];"rng\Locations")-1)</v>
      </c>
      <c r="G37" s="36" t="str">
        <f>"=FILTER(tab\CFG[Value];tab\CFG[Key]="""&amp;tab\CFG[[#This Row],[Key]]&amp;""")"</f>
        <v>=FILTER(tab\CFG[Value];tab\CFG[Key]="rng\Locations")</v>
      </c>
      <c r="H37" s="40">
        <v>3</v>
      </c>
      <c r="I37"/>
    </row>
    <row r="38" spans="1:9" x14ac:dyDescent="0.3">
      <c r="A38" s="38" t="s">
        <v>1225</v>
      </c>
      <c r="B38" s="36"/>
      <c r="C38" s="36" t="s">
        <v>1182</v>
      </c>
      <c r="D38" s="44" t="s">
        <v>882</v>
      </c>
      <c r="E38" s="36"/>
      <c r="F38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=INDEX(tab\CFG[Value];MATCH("rng\Locations";tab\CFG[Key];0)):INDEX(tab\CFG[Value];MATCH("rng\Locations";tab\CFG[Key];0)+COUNTIF(tab\CFG[Key];"rng\Locations")-1)</v>
      </c>
      <c r="G38" s="36" t="str">
        <f>"=FILTER(tab\CFG[Value];tab\CFG[Key]="""&amp;tab\CFG[[#This Row],[Key]]&amp;""")"</f>
        <v>=FILTER(tab\CFG[Value];tab\CFG[Key]="rng\Locations")</v>
      </c>
      <c r="H38" s="40">
        <v>4</v>
      </c>
      <c r="I38"/>
    </row>
    <row r="39" spans="1:9" x14ac:dyDescent="0.3">
      <c r="A39" s="38" t="s">
        <v>1226</v>
      </c>
      <c r="B39" s="36"/>
      <c r="C39" s="36" t="s">
        <v>1182</v>
      </c>
      <c r="D39" s="44" t="s">
        <v>819</v>
      </c>
      <c r="E39" s="36"/>
      <c r="F39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=INDEX(tab\CFG[Value];MATCH("rng\Locations";tab\CFG[Key];0)):INDEX(tab\CFG[Value];MATCH("rng\Locations";tab\CFG[Key];0)+COUNTIF(tab\CFG[Key];"rng\Locations")-1)</v>
      </c>
      <c r="G39" s="36" t="str">
        <f>"=FILTER(tab\CFG[Value];tab\CFG[Key]="""&amp;tab\CFG[[#This Row],[Key]]&amp;""")"</f>
        <v>=FILTER(tab\CFG[Value];tab\CFG[Key]="rng\Locations")</v>
      </c>
      <c r="H39" s="40">
        <v>5</v>
      </c>
      <c r="I39"/>
    </row>
    <row r="40" spans="1:9" x14ac:dyDescent="0.3">
      <c r="A40" s="38" t="s">
        <v>1227</v>
      </c>
      <c r="B40" s="36"/>
      <c r="C40" s="36" t="s">
        <v>1182</v>
      </c>
      <c r="D40" s="44" t="s">
        <v>820</v>
      </c>
      <c r="E40" s="36"/>
      <c r="F40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=INDEX(tab\CFG[Value];MATCH("rng\Locations";tab\CFG[Key];0)):INDEX(tab\CFG[Value];MATCH("rng\Locations";tab\CFG[Key];0)+COUNTIF(tab\CFG[Key];"rng\Locations")-1)</v>
      </c>
      <c r="G40" s="36" t="str">
        <f>"=FILTER(tab\CFG[Value];tab\CFG[Key]="""&amp;tab\CFG[[#This Row],[Key]]&amp;""")"</f>
        <v>=FILTER(tab\CFG[Value];tab\CFG[Key]="rng\Locations")</v>
      </c>
      <c r="H40" s="40">
        <v>6</v>
      </c>
      <c r="I40"/>
    </row>
    <row r="41" spans="1:9" x14ac:dyDescent="0.3">
      <c r="A41" s="38" t="s">
        <v>1228</v>
      </c>
      <c r="B41" s="36"/>
      <c r="C41" s="36" t="s">
        <v>1182</v>
      </c>
      <c r="D41" s="44" t="s">
        <v>821</v>
      </c>
      <c r="E41" s="36"/>
      <c r="F41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=INDEX(tab\CFG[Value];MATCH("rng\Locations";tab\CFG[Key];0)):INDEX(tab\CFG[Value];MATCH("rng\Locations";tab\CFG[Key];0)+COUNTIF(tab\CFG[Key];"rng\Locations")-1)</v>
      </c>
      <c r="G41" s="36" t="str">
        <f>"=FILTER(tab\CFG[Value];tab\CFG[Key]="""&amp;tab\CFG[[#This Row],[Key]]&amp;""")"</f>
        <v>=FILTER(tab\CFG[Value];tab\CFG[Key]="rng\Locations")</v>
      </c>
      <c r="H41" s="40">
        <v>7</v>
      </c>
      <c r="I41"/>
    </row>
    <row r="42" spans="1:9" x14ac:dyDescent="0.3">
      <c r="A42" s="38" t="s">
        <v>1229</v>
      </c>
      <c r="B42" s="36"/>
      <c r="C42" s="36" t="s">
        <v>1182</v>
      </c>
      <c r="D42" s="44" t="s">
        <v>822</v>
      </c>
      <c r="E42" s="36"/>
      <c r="F42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=INDEX(tab\CFG[Value];MATCH("rng\Locations";tab\CFG[Key];0)):INDEX(tab\CFG[Value];MATCH("rng\Locations";tab\CFG[Key];0)+COUNTIF(tab\CFG[Key];"rng\Locations")-1)</v>
      </c>
      <c r="G42" s="36" t="str">
        <f>"=FILTER(tab\CFG[Value];tab\CFG[Key]="""&amp;tab\CFG[[#This Row],[Key]]&amp;""")"</f>
        <v>=FILTER(tab\CFG[Value];tab\CFG[Key]="rng\Locations")</v>
      </c>
      <c r="H42" s="40">
        <v>8</v>
      </c>
      <c r="I42"/>
    </row>
    <row r="43" spans="1:9" x14ac:dyDescent="0.3">
      <c r="A43" s="38" t="s">
        <v>1230</v>
      </c>
      <c r="B43" s="36"/>
      <c r="C43" s="36" t="s">
        <v>1182</v>
      </c>
      <c r="D43" s="44" t="s">
        <v>823</v>
      </c>
      <c r="E43" s="36"/>
      <c r="F43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=INDEX(tab\CFG[Value];MATCH("rng\Locations";tab\CFG[Key];0)):INDEX(tab\CFG[Value];MATCH("rng\Locations";tab\CFG[Key];0)+COUNTIF(tab\CFG[Key];"rng\Locations")-1)</v>
      </c>
      <c r="G43" s="36" t="str">
        <f>"=FILTER(tab\CFG[Value];tab\CFG[Key]="""&amp;tab\CFG[[#This Row],[Key]]&amp;""")"</f>
        <v>=FILTER(tab\CFG[Value];tab\CFG[Key]="rng\Locations")</v>
      </c>
      <c r="H43" s="40">
        <v>9</v>
      </c>
      <c r="I43"/>
    </row>
    <row r="44" spans="1:9" x14ac:dyDescent="0.3">
      <c r="A44" s="38" t="s">
        <v>1231</v>
      </c>
      <c r="B44" s="36"/>
      <c r="C44" s="36" t="s">
        <v>1182</v>
      </c>
      <c r="D44" s="44" t="s">
        <v>824</v>
      </c>
      <c r="E44" s="36"/>
      <c r="F44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=INDEX(tab\CFG[Value];MATCH("rng\Locations";tab\CFG[Key];0)):INDEX(tab\CFG[Value];MATCH("rng\Locations";tab\CFG[Key];0)+COUNTIF(tab\CFG[Key];"rng\Locations")-1)</v>
      </c>
      <c r="G44" s="36" t="str">
        <f>"=FILTER(tab\CFG[Value];tab\CFG[Key]="""&amp;tab\CFG[[#This Row],[Key]]&amp;""")"</f>
        <v>=FILTER(tab\CFG[Value];tab\CFG[Key]="rng\Locations")</v>
      </c>
      <c r="H44" s="40">
        <v>10</v>
      </c>
      <c r="I44"/>
    </row>
    <row r="45" spans="1:9" x14ac:dyDescent="0.3">
      <c r="A45" s="38" t="s">
        <v>1232</v>
      </c>
      <c r="B45" s="36" t="s">
        <v>1187</v>
      </c>
      <c r="C45" s="36" t="s">
        <v>1183</v>
      </c>
      <c r="D45" s="44" t="s">
        <v>76</v>
      </c>
      <c r="E45" s="36"/>
      <c r="F45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=INDEX(tab\CFG[Value];MATCH("rng\Derivation";tab\CFG[Key];0)):INDEX(tab\CFG[Value];MATCH("rng\Derivation";tab\CFG[Key];0)+COUNTIF(tab\CFG[Key];"rng\Derivation")-1)</v>
      </c>
      <c r="G45" s="36" t="str">
        <f>"=FILTER(tab\CFG[Value];tab\CFG[Key]="""&amp;tab\CFG[[#This Row],[Key]]&amp;""")"</f>
        <v>=FILTER(tab\CFG[Value];tab\CFG[Key]="rng\Derivation")</v>
      </c>
      <c r="H45" s="40">
        <v>1</v>
      </c>
      <c r="I45"/>
    </row>
    <row r="46" spans="1:9" x14ac:dyDescent="0.3">
      <c r="A46" s="38" t="s">
        <v>1233</v>
      </c>
      <c r="B46" s="36"/>
      <c r="C46" s="36" t="s">
        <v>1183</v>
      </c>
      <c r="D46" s="44" t="s">
        <v>77</v>
      </c>
      <c r="E46" s="36"/>
      <c r="F46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=INDEX(tab\CFG[Value];MATCH("rng\Derivation";tab\CFG[Key];0)):INDEX(tab\CFG[Value];MATCH("rng\Derivation";tab\CFG[Key];0)+COUNTIF(tab\CFG[Key];"rng\Derivation")-1)</v>
      </c>
      <c r="G46" s="36" t="str">
        <f>"=FILTER(tab\CFG[Value];tab\CFG[Key]="""&amp;tab\CFG[[#This Row],[Key]]&amp;""")"</f>
        <v>=FILTER(tab\CFG[Value];tab\CFG[Key]="rng\Derivation")</v>
      </c>
      <c r="H46" s="40">
        <v>2</v>
      </c>
      <c r="I46"/>
    </row>
    <row r="47" spans="1:9" x14ac:dyDescent="0.3">
      <c r="A47" s="38" t="s">
        <v>1234</v>
      </c>
      <c r="B47" s="36"/>
      <c r="C47" s="36" t="s">
        <v>1183</v>
      </c>
      <c r="D47" s="44" t="s">
        <v>78</v>
      </c>
      <c r="E47" s="36"/>
      <c r="F47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=INDEX(tab\CFG[Value];MATCH("rng\Derivation";tab\CFG[Key];0)):INDEX(tab\CFG[Value];MATCH("rng\Derivation";tab\CFG[Key];0)+COUNTIF(tab\CFG[Key];"rng\Derivation")-1)</v>
      </c>
      <c r="G47" s="36" t="str">
        <f>"=FILTER(tab\CFG[Value];tab\CFG[Key]="""&amp;tab\CFG[[#This Row],[Key]]&amp;""")"</f>
        <v>=FILTER(tab\CFG[Value];tab\CFG[Key]="rng\Derivation")</v>
      </c>
      <c r="H47" s="40">
        <v>3</v>
      </c>
      <c r="I47"/>
    </row>
    <row r="48" spans="1:9" x14ac:dyDescent="0.3">
      <c r="A48" s="38" t="s">
        <v>1235</v>
      </c>
      <c r="B48" s="36"/>
      <c r="C48" s="36" t="s">
        <v>1183</v>
      </c>
      <c r="D48" s="44" t="s">
        <v>829</v>
      </c>
      <c r="E48" s="36"/>
      <c r="F48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=INDEX(tab\CFG[Value];MATCH("rng\Derivation";tab\CFG[Key];0)):INDEX(tab\CFG[Value];MATCH("rng\Derivation";tab\CFG[Key];0)+COUNTIF(tab\CFG[Key];"rng\Derivation")-1)</v>
      </c>
      <c r="G48" s="36" t="str">
        <f>"=FILTER(tab\CFG[Value];tab\CFG[Key]="""&amp;tab\CFG[[#This Row],[Key]]&amp;""")"</f>
        <v>=FILTER(tab\CFG[Value];tab\CFG[Key]="rng\Derivation")</v>
      </c>
      <c r="H48" s="40">
        <v>4</v>
      </c>
      <c r="I48"/>
    </row>
    <row r="49" spans="1:9" x14ac:dyDescent="0.3">
      <c r="A49" s="38" t="s">
        <v>1236</v>
      </c>
      <c r="B49" s="36"/>
      <c r="C49" s="36" t="s">
        <v>1183</v>
      </c>
      <c r="D49" s="44" t="s">
        <v>830</v>
      </c>
      <c r="E49" s="36"/>
      <c r="F49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=INDEX(tab\CFG[Value];MATCH("rng\Derivation";tab\CFG[Key];0)):INDEX(tab\CFG[Value];MATCH("rng\Derivation";tab\CFG[Key];0)+COUNTIF(tab\CFG[Key];"rng\Derivation")-1)</v>
      </c>
      <c r="G49" s="36" t="str">
        <f>"=FILTER(tab\CFG[Value];tab\CFG[Key]="""&amp;tab\CFG[[#This Row],[Key]]&amp;""")"</f>
        <v>=FILTER(tab\CFG[Value];tab\CFG[Key]="rng\Derivation")</v>
      </c>
      <c r="H49" s="40">
        <v>5</v>
      </c>
      <c r="I49"/>
    </row>
    <row r="50" spans="1:9" x14ac:dyDescent="0.3">
      <c r="A50" s="38" t="s">
        <v>1237</v>
      </c>
      <c r="B50" s="36"/>
      <c r="C50" s="36" t="s">
        <v>1183</v>
      </c>
      <c r="D50" s="44" t="s">
        <v>831</v>
      </c>
      <c r="E50" s="36"/>
      <c r="F50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=INDEX(tab\CFG[Value];MATCH("rng\Derivation";tab\CFG[Key];0)):INDEX(tab\CFG[Value];MATCH("rng\Derivation";tab\CFG[Key];0)+COUNTIF(tab\CFG[Key];"rng\Derivation")-1)</v>
      </c>
      <c r="G50" s="36" t="str">
        <f>"=FILTER(tab\CFG[Value];tab\CFG[Key]="""&amp;tab\CFG[[#This Row],[Key]]&amp;""")"</f>
        <v>=FILTER(tab\CFG[Value];tab\CFG[Key]="rng\Derivation")</v>
      </c>
      <c r="H50" s="40">
        <v>6</v>
      </c>
      <c r="I50"/>
    </row>
    <row r="51" spans="1:9" x14ac:dyDescent="0.3">
      <c r="A51" s="38" t="s">
        <v>1238</v>
      </c>
      <c r="B51" s="36"/>
      <c r="C51" s="36" t="s">
        <v>1183</v>
      </c>
      <c r="D51" s="44" t="s">
        <v>74</v>
      </c>
      <c r="E51" s="36"/>
      <c r="F51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=INDEX(tab\CFG[Value];MATCH("rng\Derivation";tab\CFG[Key];0)):INDEX(tab\CFG[Value];MATCH("rng\Derivation";tab\CFG[Key];0)+COUNTIF(tab\CFG[Key];"rng\Derivation")-1)</v>
      </c>
      <c r="G51" s="36" t="str">
        <f>"=FILTER(tab\CFG[Value];tab\CFG[Key]="""&amp;tab\CFG[[#This Row],[Key]]&amp;""")"</f>
        <v>=FILTER(tab\CFG[Value];tab\CFG[Key]="rng\Derivation")</v>
      </c>
      <c r="H51" s="40">
        <v>7</v>
      </c>
      <c r="I51"/>
    </row>
    <row r="52" spans="1:9" x14ac:dyDescent="0.3">
      <c r="A52" s="38" t="s">
        <v>1239</v>
      </c>
      <c r="B52" s="36"/>
      <c r="C52" s="36" t="s">
        <v>1183</v>
      </c>
      <c r="D52" s="44" t="s">
        <v>75</v>
      </c>
      <c r="E52" s="36"/>
      <c r="F52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=INDEX(tab\CFG[Value];MATCH("rng\Derivation";tab\CFG[Key];0)):INDEX(tab\CFG[Value];MATCH("rng\Derivation";tab\CFG[Key];0)+COUNTIF(tab\CFG[Key];"rng\Derivation")-1)</v>
      </c>
      <c r="G52" s="36" t="str">
        <f>"=FILTER(tab\CFG[Value];tab\CFG[Key]="""&amp;tab\CFG[[#This Row],[Key]]&amp;""")"</f>
        <v>=FILTER(tab\CFG[Value];tab\CFG[Key]="rng\Derivation")</v>
      </c>
      <c r="H52" s="40">
        <v>8</v>
      </c>
      <c r="I52"/>
    </row>
    <row r="53" spans="1:9" x14ac:dyDescent="0.3">
      <c r="A53" s="38" t="s">
        <v>1240</v>
      </c>
      <c r="B53" s="36"/>
      <c r="C53" s="36" t="s">
        <v>1183</v>
      </c>
      <c r="D53" s="44" t="s">
        <v>71</v>
      </c>
      <c r="E53" s="36"/>
      <c r="F53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=INDEX(tab\CFG[Value];MATCH("rng\Derivation";tab\CFG[Key];0)):INDEX(tab\CFG[Value];MATCH("rng\Derivation";tab\CFG[Key];0)+COUNTIF(tab\CFG[Key];"rng\Derivation")-1)</v>
      </c>
      <c r="G53" s="36" t="str">
        <f>"=FILTER(tab\CFG[Value];tab\CFG[Key]="""&amp;tab\CFG[[#This Row],[Key]]&amp;""")"</f>
        <v>=FILTER(tab\CFG[Value];tab\CFG[Key]="rng\Derivation")</v>
      </c>
      <c r="H53" s="40">
        <v>9</v>
      </c>
      <c r="I53"/>
    </row>
    <row r="54" spans="1:9" x14ac:dyDescent="0.3">
      <c r="A54" s="38" t="s">
        <v>1241</v>
      </c>
      <c r="B54" s="36"/>
      <c r="C54" s="36" t="s">
        <v>1183</v>
      </c>
      <c r="D54" s="44" t="s">
        <v>828</v>
      </c>
      <c r="E54" s="36"/>
      <c r="F54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=INDEX(tab\CFG[Value];MATCH("rng\Derivation";tab\CFG[Key];0)):INDEX(tab\CFG[Value];MATCH("rng\Derivation";tab\CFG[Key];0)+COUNTIF(tab\CFG[Key];"rng\Derivation")-1)</v>
      </c>
      <c r="G54" s="36" t="str">
        <f>"=FILTER(tab\CFG[Value];tab\CFG[Key]="""&amp;tab\CFG[[#This Row],[Key]]&amp;""")"</f>
        <v>=FILTER(tab\CFG[Value];tab\CFG[Key]="rng\Derivation")</v>
      </c>
      <c r="H54" s="40">
        <v>10</v>
      </c>
      <c r="I54"/>
    </row>
    <row r="55" spans="1:9" x14ac:dyDescent="0.3">
      <c r="A55" s="38" t="s">
        <v>1242</v>
      </c>
      <c r="B55" s="36"/>
      <c r="C55" s="36" t="s">
        <v>1183</v>
      </c>
      <c r="D55" s="44" t="s">
        <v>827</v>
      </c>
      <c r="E55" s="36"/>
      <c r="F55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=INDEX(tab\CFG[Value];MATCH("rng\Derivation";tab\CFG[Key];0)):INDEX(tab\CFG[Value];MATCH("rng\Derivation";tab\CFG[Key];0)+COUNTIF(tab\CFG[Key];"rng\Derivation")-1)</v>
      </c>
      <c r="G55" s="36" t="str">
        <f>"=FILTER(tab\CFG[Value];tab\CFG[Key]="""&amp;tab\CFG[[#This Row],[Key]]&amp;""")"</f>
        <v>=FILTER(tab\CFG[Value];tab\CFG[Key]="rng\Derivation")</v>
      </c>
      <c r="H55" s="40">
        <v>11</v>
      </c>
      <c r="I55"/>
    </row>
    <row r="56" spans="1:9" x14ac:dyDescent="0.3">
      <c r="A56" s="38" t="s">
        <v>1243</v>
      </c>
      <c r="B56" s="36"/>
      <c r="C56" s="36" t="s">
        <v>1183</v>
      </c>
      <c r="D56" s="44" t="s">
        <v>833</v>
      </c>
      <c r="E56" s="36"/>
      <c r="F56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=INDEX(tab\CFG[Value];MATCH("rng\Derivation";tab\CFG[Key];0)):INDEX(tab\CFG[Value];MATCH("rng\Derivation";tab\CFG[Key];0)+COUNTIF(tab\CFG[Key];"rng\Derivation")-1)</v>
      </c>
      <c r="G56" s="36" t="str">
        <f>"=FILTER(tab\CFG[Value];tab\CFG[Key]="""&amp;tab\CFG[[#This Row],[Key]]&amp;""")"</f>
        <v>=FILTER(tab\CFG[Value];tab\CFG[Key]="rng\Derivation")</v>
      </c>
      <c r="H56" s="40">
        <v>12</v>
      </c>
      <c r="I56"/>
    </row>
    <row r="57" spans="1:9" x14ac:dyDescent="0.3">
      <c r="A57" s="38" t="s">
        <v>1244</v>
      </c>
      <c r="B57" s="36" t="s">
        <v>1188</v>
      </c>
      <c r="C57" s="36" t="s">
        <v>1184</v>
      </c>
      <c r="D57" s="44" t="s">
        <v>879</v>
      </c>
      <c r="E57" s="36"/>
      <c r="F57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=INDEX(tab\CFG[Value];MATCH("rng\Locations.Type";tab\CFG[Key];0)):INDEX(tab\CFG[Value];MATCH("rng\Locations.Type";tab\CFG[Key];0)+COUNTIF(tab\CFG[Key];"rng\Locations.Type")-1)</v>
      </c>
      <c r="G57" s="36" t="str">
        <f>"=FILTER(tab\CFG[Value];tab\CFG[Key]="""&amp;tab\CFG[[#This Row],[Key]]&amp;""")"</f>
        <v>=FILTER(tab\CFG[Value];tab\CFG[Key]="rng\Locations.Type")</v>
      </c>
      <c r="H57" s="40">
        <v>1</v>
      </c>
      <c r="I57"/>
    </row>
    <row r="58" spans="1:9" x14ac:dyDescent="0.3">
      <c r="A58" s="38" t="s">
        <v>1245</v>
      </c>
      <c r="B58" s="36"/>
      <c r="C58" s="36" t="s">
        <v>1184</v>
      </c>
      <c r="D58" s="44" t="s">
        <v>881</v>
      </c>
      <c r="E58" s="36"/>
      <c r="F58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=INDEX(tab\CFG[Value];MATCH("rng\Locations.Type";tab\CFG[Key];0)):INDEX(tab\CFG[Value];MATCH("rng\Locations.Type";tab\CFG[Key];0)+COUNTIF(tab\CFG[Key];"rng\Locations.Type")-1)</v>
      </c>
      <c r="G58" s="36" t="str">
        <f>"=FILTER(tab\CFG[Value];tab\CFG[Key]="""&amp;tab\CFG[[#This Row],[Key]]&amp;""")"</f>
        <v>=FILTER(tab\CFG[Value];tab\CFG[Key]="rng\Locations.Type")</v>
      </c>
      <c r="H58" s="40">
        <v>2</v>
      </c>
      <c r="I58"/>
    </row>
    <row r="59" spans="1:9" x14ac:dyDescent="0.3">
      <c r="A59" s="38" t="s">
        <v>1246</v>
      </c>
      <c r="B59" s="36"/>
      <c r="C59" s="36" t="s">
        <v>1184</v>
      </c>
      <c r="D59" s="44" t="s">
        <v>880</v>
      </c>
      <c r="E59" s="36"/>
      <c r="F59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=INDEX(tab\CFG[Value];MATCH("rng\Locations.Type";tab\CFG[Key];0)):INDEX(tab\CFG[Value];MATCH("rng\Locations.Type";tab\CFG[Key];0)+COUNTIF(tab\CFG[Key];"rng\Locations.Type")-1)</v>
      </c>
      <c r="G59" s="36" t="str">
        <f>"=FILTER(tab\CFG[Value];tab\CFG[Key]="""&amp;tab\CFG[[#This Row],[Key]]&amp;""")"</f>
        <v>=FILTER(tab\CFG[Value];tab\CFG[Key]="rng\Locations.Type")</v>
      </c>
      <c r="H59" s="40">
        <v>3</v>
      </c>
      <c r="I59"/>
    </row>
    <row r="60" spans="1:9" x14ac:dyDescent="0.3">
      <c r="A60" s="38" t="s">
        <v>1247</v>
      </c>
      <c r="B60" s="36" t="s">
        <v>1189</v>
      </c>
      <c r="C60" s="36" t="s">
        <v>1185</v>
      </c>
      <c r="D60" s="44" t="s">
        <v>1164</v>
      </c>
      <c r="E60" s="36"/>
      <c r="F60" s="36" t="str">
        <f>"=INDEX(tab\CFG[Value];MATCH(""" &amp;tab\CFG[[#This Row],[Key]]&amp;""";tab\CFG[Key];0)):INDEX(tab\CFG[Value];MATCH("""&amp;tab\CFG[[#This Row],[Key]]&amp;""";tab\CFG[Key];0)+COUNTIF(tab\CFG[Key];"""&amp;tab\CFG[[#This Row],[Key]]&amp;""")-1)"</f>
        <v>=INDEX(tab\CFG[Value];MATCH("var\Pictures";tab\CFG[Key];0)):INDEX(tab\CFG[Value];MATCH("var\Pictures";tab\CFG[Key];0)+COUNTIF(tab\CFG[Key];"var\Pictures")-1)</v>
      </c>
      <c r="G60" s="36" t="str">
        <f>"=FILTER(tab\CFG[Value];tab\CFG[Key]="""&amp;tab\CFG[[#This Row],[Key]]&amp;""")"</f>
        <v>=FILTER(tab\CFG[Value];tab\CFG[Key]="var\Pictures")</v>
      </c>
      <c r="H60" s="40">
        <v>1</v>
      </c>
      <c r="I60"/>
    </row>
  </sheetData>
  <phoneticPr fontId="4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470B07-444F-415F-8772-D3E9CF410A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PAO.pl</vt:lpstr>
      <vt:lpstr>PAO.en</vt:lpstr>
      <vt:lpstr>Translations</vt:lpstr>
      <vt:lpstr>Frequencies</vt:lpstr>
      <vt:lpstr>Alt Persons</vt:lpstr>
      <vt:lpstr>Alt Actions</vt:lpstr>
      <vt:lpstr>Alt Objects</vt:lpstr>
      <vt:lpstr>CFG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Andrzej Kowalski</dc:creator>
  <cp:lastModifiedBy>Andrzej Kowalski</cp:lastModifiedBy>
  <dcterms:created xsi:type="dcterms:W3CDTF">2019-10-30T06:45:17Z</dcterms:created>
  <dcterms:modified xsi:type="dcterms:W3CDTF">2026-09-27T09:14:27Z</dcterms:modified>
</cp:coreProperties>
</file>